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8AB0C38-C68B-409D-9E7F-09477707E9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ARGA RATA-RATA MDL" sheetId="3" r:id="rId1"/>
    <sheet name="HARGA RATA" sheetId="5" r:id="rId2"/>
  </sheets>
  <definedNames>
    <definedName name="_xlnm.Print_Area" localSheetId="1">'HARGA RATA'!#REF!</definedName>
    <definedName name="_xlnm.Print_Area" localSheetId="0">'HARGA RATA-RATA MDL'!$B$2:$AL$84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71" i="3" l="1"/>
  <c r="AJ84" i="3"/>
  <c r="AJ7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6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L20" i="3" s="1"/>
  <c r="AJ21" i="3"/>
  <c r="AJ22" i="3"/>
  <c r="AJ7" i="3"/>
  <c r="AJ6" i="3"/>
  <c r="AK77" i="3"/>
  <c r="AK76" i="3"/>
  <c r="AJ77" i="3"/>
  <c r="AL17" i="3" l="1"/>
  <c r="AL16" i="3"/>
  <c r="AL13" i="3"/>
  <c r="AL12" i="3"/>
  <c r="AL8" i="3"/>
  <c r="AL10" i="3"/>
  <c r="AL7" i="3"/>
  <c r="AL18" i="3"/>
  <c r="AL22" i="3"/>
  <c r="AL9" i="3"/>
  <c r="AL6" i="3"/>
  <c r="AL11" i="3"/>
  <c r="AL15" i="3"/>
  <c r="AL77" i="3"/>
  <c r="AL14" i="3"/>
  <c r="AL19" i="3"/>
  <c r="AL21" i="3"/>
  <c r="AL76" i="3"/>
  <c r="AL84" i="3" l="1"/>
  <c r="AL71" i="3"/>
</calcChain>
</file>

<file path=xl/sharedStrings.xml><?xml version="1.0" encoding="utf-8"?>
<sst xmlns="http://schemas.openxmlformats.org/spreadsheetml/2006/main" count="118" uniqueCount="37">
  <si>
    <t>MARKET LIST (HARGA RATA-RATA)</t>
  </si>
  <si>
    <t>PERIODE</t>
  </si>
  <si>
    <t>:</t>
  </si>
  <si>
    <t>NO</t>
  </si>
  <si>
    <t>ITEM DESCRIPTION</t>
  </si>
  <si>
    <t>UNIT</t>
  </si>
  <si>
    <t xml:space="preserve">CASH </t>
  </si>
  <si>
    <t>CASH</t>
  </si>
  <si>
    <t>TOTAL</t>
  </si>
  <si>
    <t>PEMBAGI</t>
  </si>
  <si>
    <t>HARGA RATA-RATA</t>
  </si>
  <si>
    <t>GRAND TOTAL</t>
  </si>
  <si>
    <t xml:space="preserve">Black Coffe </t>
  </si>
  <si>
    <t>Kopi Susu</t>
  </si>
  <si>
    <t>CUP</t>
  </si>
  <si>
    <t xml:space="preserve">CUP </t>
  </si>
  <si>
    <t xml:space="preserve">Milo </t>
  </si>
  <si>
    <t xml:space="preserve">Teh </t>
  </si>
  <si>
    <t>Teh Susu</t>
  </si>
  <si>
    <t>Lemon Tea</t>
  </si>
  <si>
    <t>Es Kosong</t>
  </si>
  <si>
    <t>Susu Putih</t>
  </si>
  <si>
    <t>Taro Milkshake</t>
  </si>
  <si>
    <t>Manggo Smoothie</t>
  </si>
  <si>
    <t>orange Mojito</t>
  </si>
  <si>
    <t>mineral</t>
  </si>
  <si>
    <t>lecci tea</t>
  </si>
  <si>
    <t>Espresso</t>
  </si>
  <si>
    <t xml:space="preserve">Matcha </t>
  </si>
  <si>
    <t>Choclate Caramel</t>
  </si>
  <si>
    <t>Biliard</t>
  </si>
  <si>
    <t>Jam</t>
  </si>
  <si>
    <t>01/08/2025 - 31/08/2025</t>
  </si>
  <si>
    <t>PENGELUARAN</t>
  </si>
  <si>
    <t>Belanja Bar</t>
  </si>
  <si>
    <t>Oprasional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</si>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</sst>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41" formatCode="_-* #,##0_-;\-* #,##0_-;_-* &quot;-&quot;_-;_-@_-"/>
    <numFmt numFmtId="164" formatCode="_(&quot;Rp&quot;* #,##0_);_(&quot;Rp&quot;* \(#,##0\);_(&quot;Rp&quot;* &quot;-&quot;_);_(@_)"/>
    <numFmt numFmtId="165" formatCode="_([$Rp-421]* #,##0.00_);_([$Rp-421]* \(#,##0.00\);_([$Rp-421]* &quot;-&quot;??_);_(@_)"/>
  </numFmts>
  <fonts count="11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"/>
      <scheme val="minor"/>
    </font>
    <font>
      <b/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1" fontId="10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vertical="center"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41" fontId="0" fillId="0" borderId="0" xfId="1" applyFont="1" applyAlignment="1">
      <alignment horizontal="center"/>
    </xf>
    <xf numFmtId="0" fontId="4" fillId="2" borderId="0" xfId="0" applyFont="1" applyFill="1"/>
    <xf numFmtId="0" fontId="0" fillId="2" borderId="0" xfId="0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164" fontId="0" fillId="0" borderId="9" xfId="0" applyNumberFormat="1" applyBorder="1"/>
    <xf numFmtId="42" fontId="0" fillId="0" borderId="9" xfId="0" applyNumberFormat="1" applyBorder="1"/>
    <xf numFmtId="164" fontId="0" fillId="0" borderId="4" xfId="0" applyNumberFormat="1" applyBorder="1"/>
    <xf numFmtId="0" fontId="0" fillId="0" borderId="10" xfId="0" applyBorder="1"/>
    <xf numFmtId="42" fontId="0" fillId="0" borderId="4" xfId="0" applyNumberFormat="1" applyBorder="1"/>
    <xf numFmtId="42" fontId="0" fillId="0" borderId="11" xfId="0" applyNumberFormat="1" applyBorder="1"/>
    <xf numFmtId="0" fontId="6" fillId="0" borderId="10" xfId="0" applyFont="1" applyBorder="1"/>
    <xf numFmtId="42" fontId="6" fillId="0" borderId="9" xfId="0" applyNumberFormat="1" applyFont="1" applyBorder="1"/>
    <xf numFmtId="0" fontId="6" fillId="0" borderId="4" xfId="0" applyFont="1" applyBorder="1"/>
    <xf numFmtId="42" fontId="6" fillId="0" borderId="4" xfId="0" applyNumberFormat="1" applyFont="1" applyBorder="1"/>
    <xf numFmtId="0" fontId="0" fillId="0" borderId="9" xfId="0" applyBorder="1"/>
    <xf numFmtId="42" fontId="0" fillId="0" borderId="12" xfId="0" applyNumberFormat="1" applyBorder="1"/>
    <xf numFmtId="42" fontId="0" fillId="0" borderId="12" xfId="0" applyNumberFormat="1" applyFill="1" applyBorder="1"/>
    <xf numFmtId="42" fontId="0" fillId="0" borderId="13" xfId="0" applyNumberFormat="1" applyBorder="1"/>
    <xf numFmtId="0" fontId="0" fillId="0" borderId="11" xfId="0" applyBorder="1"/>
    <xf numFmtId="17" fontId="4" fillId="2" borderId="0" xfId="1" applyNumberFormat="1" applyFont="1" applyFill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7" fillId="0" borderId="17" xfId="0" applyFont="1" applyBorder="1"/>
    <xf numFmtId="0" fontId="0" fillId="0" borderId="6" xfId="0" applyBorder="1" applyAlignment="1">
      <alignment horizontal="center"/>
    </xf>
    <xf numFmtId="42" fontId="0" fillId="0" borderId="17" xfId="0" applyNumberFormat="1" applyBorder="1"/>
    <xf numFmtId="0" fontId="0" fillId="0" borderId="18" xfId="0" applyBorder="1"/>
    <xf numFmtId="42" fontId="0" fillId="0" borderId="0" xfId="0" applyNumberFormat="1"/>
    <xf numFmtId="0" fontId="1" fillId="2" borderId="18" xfId="0" applyFont="1" applyFill="1" applyBorder="1"/>
    <xf numFmtId="42" fontId="0" fillId="2" borderId="0" xfId="0" applyNumberFormat="1" applyFill="1"/>
    <xf numFmtId="0" fontId="8" fillId="0" borderId="19" xfId="0" applyFont="1" applyBorder="1"/>
    <xf numFmtId="0" fontId="7" fillId="0" borderId="20" xfId="0" applyFont="1" applyBorder="1"/>
    <xf numFmtId="0" fontId="8" fillId="0" borderId="20" xfId="0" applyFont="1" applyBorder="1" applyAlignment="1">
      <alignment horizontal="center"/>
    </xf>
    <xf numFmtId="0" fontId="8" fillId="4" borderId="20" xfId="0" applyFont="1" applyFill="1" applyBorder="1"/>
    <xf numFmtId="0" fontId="8" fillId="0" borderId="20" xfId="0" applyFont="1" applyBorder="1"/>
    <xf numFmtId="0" fontId="0" fillId="10" borderId="0" xfId="0" applyFill="1"/>
    <xf numFmtId="0" fontId="0" fillId="10" borderId="0" xfId="0" applyFill="1" applyAlignment="1">
      <alignment horizontal="center"/>
    </xf>
    <xf numFmtId="42" fontId="0" fillId="0" borderId="6" xfId="0" applyNumberFormat="1" applyBorder="1"/>
    <xf numFmtId="42" fontId="0" fillId="0" borderId="21" xfId="0" applyNumberFormat="1" applyBorder="1"/>
    <xf numFmtId="42" fontId="0" fillId="0" borderId="7" xfId="0" applyNumberFormat="1" applyBorder="1"/>
    <xf numFmtId="0" fontId="0" fillId="0" borderId="6" xfId="0" applyBorder="1"/>
    <xf numFmtId="42" fontId="0" fillId="2" borderId="22" xfId="0" applyNumberFormat="1" applyFill="1" applyBorder="1"/>
    <xf numFmtId="0" fontId="0" fillId="2" borderId="4" xfId="0" applyFill="1" applyBorder="1"/>
    <xf numFmtId="0" fontId="0" fillId="0" borderId="21" xfId="0" applyBorder="1"/>
    <xf numFmtId="41" fontId="9" fillId="0" borderId="24" xfId="1" applyFont="1" applyBorder="1" applyAlignment="1">
      <alignment horizontal="center"/>
    </xf>
    <xf numFmtId="41" fontId="0" fillId="0" borderId="14" xfId="1" applyFont="1" applyBorder="1" applyAlignment="1">
      <alignment horizontal="center"/>
    </xf>
    <xf numFmtId="41" fontId="0" fillId="2" borderId="25" xfId="1" applyFont="1" applyFill="1" applyBorder="1" applyAlignment="1">
      <alignment horizontal="center"/>
    </xf>
    <xf numFmtId="41" fontId="9" fillId="0" borderId="26" xfId="1" applyFont="1" applyBorder="1" applyAlignment="1">
      <alignment horizontal="center"/>
    </xf>
    <xf numFmtId="0" fontId="0" fillId="6" borderId="0" xfId="0" applyFill="1" applyAlignment="1">
      <alignment horizontal="center"/>
    </xf>
    <xf numFmtId="42" fontId="0" fillId="0" borderId="27" xfId="0" applyNumberFormat="1" applyBorder="1"/>
    <xf numFmtId="42" fontId="0" fillId="0" borderId="23" xfId="0" applyNumberFormat="1" applyBorder="1"/>
    <xf numFmtId="42" fontId="0" fillId="0" borderId="0" xfId="0" applyNumberFormat="1" applyBorder="1"/>
    <xf numFmtId="0" fontId="5" fillId="3" borderId="4" xfId="0" applyFont="1" applyFill="1" applyBorder="1" applyAlignment="1">
      <alignment horizontal="center" vertical="center"/>
    </xf>
    <xf numFmtId="41" fontId="5" fillId="3" borderId="4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42" fontId="8" fillId="0" borderId="23" xfId="0" applyNumberFormat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491"/>
  <sheetViews>
    <sheetView tabSelected="1" zoomScale="55" zoomScaleNormal="55" workbookViewId="0">
      <selection activeCell="AJ72" sqref="AJ72"/>
    </sheetView>
  </sheetViews>
  <sheetFormatPr defaultColWidth="9" defaultRowHeight="14.5"/>
  <cols>
    <col min="1" max="1" width="1.453125" customWidth="1"/>
    <col min="2" max="2" width="5.7265625" customWidth="1"/>
    <col min="3" max="3" width="25.1796875" customWidth="1"/>
    <col min="4" max="4" width="9.1796875" style="6"/>
    <col min="5" max="5" width="12.81640625" style="7" customWidth="1"/>
    <col min="6" max="6" width="12.81640625" style="8" customWidth="1"/>
    <col min="7" max="11" width="12.81640625" style="9" customWidth="1"/>
    <col min="12" max="14" width="12.81640625" style="10" customWidth="1"/>
    <col min="15" max="19" width="13.54296875" style="11" customWidth="1"/>
    <col min="20" max="20" width="12.81640625" style="1" customWidth="1"/>
    <col min="21" max="21" width="12.81640625" style="10" customWidth="1"/>
    <col min="22" max="23" width="12.81640625" style="11" customWidth="1"/>
    <col min="24" max="27" width="12.81640625" style="12" customWidth="1"/>
    <col min="28" max="35" width="12.81640625" customWidth="1"/>
    <col min="36" max="36" width="14.1796875" customWidth="1"/>
    <col min="37" max="37" width="11.453125" customWidth="1"/>
    <col min="38" max="38" width="18.453125" style="13" customWidth="1"/>
  </cols>
  <sheetData>
    <row r="1" spans="2:38"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 r="2" spans="2:38" ht="23.5">
      <c r="B2" s="72" t="s">
        <v>0</v>
      </c>
      <c r="C2" s="72"/>
      <c r="D2" s="72"/>
      <c r="E2" s="73"/>
      <c r="F2" s="74"/>
      <c r="G2" s="75"/>
      <c r="H2" s="75"/>
      <c r="I2" s="75"/>
      <c r="J2" s="75"/>
      <c r="K2" s="75"/>
      <c r="L2" s="76"/>
      <c r="M2" s="76"/>
      <c r="N2" s="76"/>
      <c r="O2" s="77"/>
      <c r="P2" s="77"/>
      <c r="Q2" s="77"/>
      <c r="R2" s="77"/>
      <c r="S2" s="77"/>
      <c r="T2" s="78"/>
      <c r="U2" s="72"/>
      <c r="V2" s="72"/>
      <c r="W2" s="72"/>
      <c r="X2" s="79"/>
      <c r="Y2" s="79"/>
      <c r="Z2" s="79"/>
      <c r="AA2" s="79"/>
      <c r="AB2" s="72"/>
      <c r="AC2" s="72"/>
      <c r="AD2" s="72"/>
      <c r="AE2" s="72"/>
      <c r="AF2" s="72"/>
      <c r="AG2" s="72"/>
      <c r="AH2" s="72"/>
      <c r="AI2" s="72"/>
      <c r="AJ2" s="72"/>
    </row>
    <row r="3" spans="2:38" s="1" customFormat="1" ht="21.5" thickBot="1">
      <c r="B3" s="14"/>
      <c r="D3" s="15"/>
      <c r="AJ3" s="14" t="s">
        <v>1</v>
      </c>
      <c r="AK3" s="14" t="s">
        <v>2</v>
      </c>
      <c r="AL3" s="35" t="s">
        <v>32</v>
      </c>
    </row>
    <row r="4" spans="2:38" s="5" customFormat="1">
      <c r="B4" s="80" t="s">
        <v>3</v>
      </c>
      <c r="C4" s="82" t="s">
        <v>4</v>
      </c>
      <c r="D4" s="84" t="s">
        <v>5</v>
      </c>
      <c r="E4" s="16" t="s">
        <v>6</v>
      </c>
      <c r="F4" s="16" t="s">
        <v>6</v>
      </c>
      <c r="G4" s="16" t="s">
        <v>7</v>
      </c>
      <c r="H4" s="16" t="s">
        <v>7</v>
      </c>
      <c r="I4" s="16" t="s">
        <v>7</v>
      </c>
      <c r="J4" s="16" t="s">
        <v>7</v>
      </c>
      <c r="K4" s="16" t="s">
        <v>7</v>
      </c>
      <c r="L4" s="16" t="s">
        <v>7</v>
      </c>
      <c r="M4" s="16" t="s">
        <v>7</v>
      </c>
      <c r="N4" s="16" t="s">
        <v>7</v>
      </c>
      <c r="O4" s="16" t="s">
        <v>7</v>
      </c>
      <c r="P4" s="16" t="s">
        <v>7</v>
      </c>
      <c r="Q4" s="16" t="s">
        <v>7</v>
      </c>
      <c r="R4" s="16" t="s">
        <v>7</v>
      </c>
      <c r="S4" s="16" t="s">
        <v>7</v>
      </c>
      <c r="T4" s="16" t="s">
        <v>6</v>
      </c>
      <c r="U4" s="16" t="s">
        <v>7</v>
      </c>
      <c r="V4" s="16" t="s">
        <v>7</v>
      </c>
      <c r="W4" s="16" t="s">
        <v>7</v>
      </c>
      <c r="X4" s="16" t="s">
        <v>7</v>
      </c>
      <c r="Y4" s="16" t="s">
        <v>7</v>
      </c>
      <c r="Z4" s="16" t="s">
        <v>7</v>
      </c>
      <c r="AA4" s="16" t="s">
        <v>7</v>
      </c>
      <c r="AB4" s="16" t="s">
        <v>7</v>
      </c>
      <c r="AC4" s="16" t="s">
        <v>7</v>
      </c>
      <c r="AD4" s="16" t="s">
        <v>7</v>
      </c>
      <c r="AE4" s="16" t="s">
        <v>7</v>
      </c>
      <c r="AF4" s="16" t="s">
        <v>7</v>
      </c>
      <c r="AG4" s="16" t="s">
        <v>7</v>
      </c>
      <c r="AH4" s="16" t="s">
        <v>7</v>
      </c>
      <c r="AI4" s="16" t="s">
        <v>7</v>
      </c>
      <c r="AJ4" s="70" t="s">
        <v>8</v>
      </c>
      <c r="AK4" s="70" t="s">
        <v>9</v>
      </c>
      <c r="AL4" s="71" t="s">
        <v>10</v>
      </c>
    </row>
    <row r="5" spans="2:38" s="5" customFormat="1" ht="15" thickBot="1">
      <c r="B5" s="81"/>
      <c r="C5" s="83"/>
      <c r="D5" s="85"/>
      <c r="E5" s="16">
        <v>1</v>
      </c>
      <c r="F5" s="16">
        <v>2</v>
      </c>
      <c r="G5" s="16">
        <v>3</v>
      </c>
      <c r="H5" s="16">
        <v>4</v>
      </c>
      <c r="I5" s="16">
        <v>5</v>
      </c>
      <c r="J5" s="16">
        <v>6</v>
      </c>
      <c r="K5" s="16">
        <v>7</v>
      </c>
      <c r="L5" s="16">
        <v>8</v>
      </c>
      <c r="M5" s="16">
        <v>9</v>
      </c>
      <c r="N5" s="16">
        <v>10</v>
      </c>
      <c r="O5" s="16">
        <v>11</v>
      </c>
      <c r="P5" s="16">
        <v>12</v>
      </c>
      <c r="Q5" s="16">
        <v>13</v>
      </c>
      <c r="R5" s="16">
        <v>14</v>
      </c>
      <c r="S5" s="16">
        <v>15</v>
      </c>
      <c r="T5" s="16">
        <v>16</v>
      </c>
      <c r="U5" s="16">
        <v>17</v>
      </c>
      <c r="V5" s="16">
        <v>18</v>
      </c>
      <c r="W5" s="16">
        <v>19</v>
      </c>
      <c r="X5" s="16">
        <v>20</v>
      </c>
      <c r="Y5" s="16">
        <v>21</v>
      </c>
      <c r="Z5" s="16">
        <v>22</v>
      </c>
      <c r="AA5" s="16">
        <v>23</v>
      </c>
      <c r="AB5" s="16">
        <v>24</v>
      </c>
      <c r="AC5" s="16">
        <v>25</v>
      </c>
      <c r="AD5" s="16">
        <v>26</v>
      </c>
      <c r="AE5" s="16">
        <v>27</v>
      </c>
      <c r="AF5" s="16">
        <v>28</v>
      </c>
      <c r="AG5" s="16">
        <v>29</v>
      </c>
      <c r="AH5" s="16">
        <v>30</v>
      </c>
      <c r="AI5" s="16">
        <v>31</v>
      </c>
      <c r="AJ5" s="70"/>
      <c r="AK5" s="70"/>
      <c r="AL5" s="71"/>
    </row>
    <row r="6" spans="2:38">
      <c r="B6" s="17">
        <v>1</v>
      </c>
      <c r="C6" s="18" t="s">
        <v>12</v>
      </c>
      <c r="D6" s="19" t="s">
        <v>15</v>
      </c>
      <c r="E6" s="20">
        <v>12000</v>
      </c>
      <c r="F6" s="21"/>
      <c r="G6" s="21"/>
      <c r="H6" s="21"/>
      <c r="I6" s="21"/>
      <c r="J6" s="21"/>
      <c r="K6" s="21">
        <v>12000</v>
      </c>
      <c r="L6" s="21">
        <v>24000</v>
      </c>
      <c r="M6" s="21">
        <v>12000</v>
      </c>
      <c r="N6" s="21"/>
      <c r="O6" s="21"/>
      <c r="P6" s="21">
        <v>12000</v>
      </c>
      <c r="Q6" s="21">
        <v>24000</v>
      </c>
      <c r="R6" s="21"/>
      <c r="S6" s="21">
        <v>12000</v>
      </c>
      <c r="T6" s="29"/>
      <c r="U6" s="21"/>
      <c r="V6" s="21"/>
      <c r="W6" s="21"/>
      <c r="X6" s="21">
        <v>36000</v>
      </c>
      <c r="Y6" s="21">
        <v>24000</v>
      </c>
      <c r="Z6" s="21"/>
      <c r="AA6" s="21">
        <v>24000</v>
      </c>
      <c r="AB6" s="24">
        <v>24000</v>
      </c>
      <c r="AC6" s="24">
        <v>24000</v>
      </c>
      <c r="AD6" s="24"/>
      <c r="AE6" s="24">
        <v>60000</v>
      </c>
      <c r="AF6" s="33">
        <v>36000</v>
      </c>
      <c r="AG6" s="33"/>
      <c r="AH6" s="33">
        <v>12000</v>
      </c>
      <c r="AI6" s="33">
        <v>24000</v>
      </c>
      <c r="AJ6" s="33">
        <f>SUM(E6:AI6)</f>
        <v>372000</v>
      </c>
      <c r="AK6" s="34">
        <f>COUNTA(E6:F6,F6,G6,H6:K6,L6:N6,O6:S6,T6,U6,V6:W6,X6:AA6,AB6:AD6,AE6:AI6)</f>
        <v>16</v>
      </c>
      <c r="AL6" s="36">
        <f>+AJ6/AK6</f>
        <v>23250</v>
      </c>
    </row>
    <row r="7" spans="2:38">
      <c r="B7" s="17">
        <v>2</v>
      </c>
      <c r="C7" s="18" t="s">
        <v>13</v>
      </c>
      <c r="D7" s="19" t="s">
        <v>14</v>
      </c>
      <c r="E7" s="22">
        <v>60000</v>
      </c>
      <c r="F7" s="21">
        <v>84000</v>
      </c>
      <c r="G7" s="21">
        <v>15000</v>
      </c>
      <c r="H7" s="21">
        <v>71000</v>
      </c>
      <c r="I7" s="21">
        <v>206000</v>
      </c>
      <c r="J7" s="21">
        <v>148000</v>
      </c>
      <c r="K7" s="21">
        <v>71000</v>
      </c>
      <c r="L7" s="21">
        <v>133000</v>
      </c>
      <c r="M7" s="21">
        <v>88000</v>
      </c>
      <c r="N7" s="21">
        <v>28000</v>
      </c>
      <c r="O7" s="21">
        <v>226000</v>
      </c>
      <c r="P7" s="21">
        <v>144000</v>
      </c>
      <c r="Q7" s="21">
        <v>159000</v>
      </c>
      <c r="R7" s="21">
        <v>54000</v>
      </c>
      <c r="S7" s="21">
        <v>69000</v>
      </c>
      <c r="T7" s="21">
        <v>155000</v>
      </c>
      <c r="U7" s="21">
        <v>43000</v>
      </c>
      <c r="V7" s="21">
        <v>86000</v>
      </c>
      <c r="W7" s="21">
        <v>82000</v>
      </c>
      <c r="X7" s="21">
        <v>120000</v>
      </c>
      <c r="Y7" s="21">
        <v>56000</v>
      </c>
      <c r="Z7" s="21">
        <v>174000</v>
      </c>
      <c r="AA7" s="21">
        <v>135000</v>
      </c>
      <c r="AB7" s="24">
        <v>114000</v>
      </c>
      <c r="AC7" s="24">
        <v>88000</v>
      </c>
      <c r="AD7" s="24">
        <v>73000</v>
      </c>
      <c r="AE7" s="24">
        <v>148000</v>
      </c>
      <c r="AF7" s="33">
        <v>43000</v>
      </c>
      <c r="AG7" s="33">
        <v>30000</v>
      </c>
      <c r="AH7" s="33">
        <v>99000</v>
      </c>
      <c r="AI7" s="33">
        <v>45000</v>
      </c>
      <c r="AJ7" s="33">
        <f>SUM(E7:AI7)</f>
        <v>3047000</v>
      </c>
      <c r="AK7" s="34">
        <f t="shared" ref="AK7:AK22" si="0">COUNTA(E7:F7,F7,G7,H7:K7,L7:N7,O7:S7,T7,U7,V7:W7,X7:AA7,AB7:AD7,AE7:AI7)</f>
        <v>32</v>
      </c>
      <c r="AL7" s="36">
        <f t="shared" ref="AL7:AL22" si="1">+AJ7/AK7</f>
        <v>95218.75</v>
      </c>
    </row>
    <row r="8" spans="2:38">
      <c r="B8" s="17">
        <v>3</v>
      </c>
      <c r="C8" s="23" t="s">
        <v>16</v>
      </c>
      <c r="D8" s="19" t="s">
        <v>14</v>
      </c>
      <c r="E8" s="21">
        <v>15000</v>
      </c>
      <c r="F8" s="21">
        <v>15000</v>
      </c>
      <c r="G8" s="21"/>
      <c r="H8" s="21">
        <v>15000</v>
      </c>
      <c r="I8" s="21">
        <v>30000</v>
      </c>
      <c r="J8" s="21"/>
      <c r="K8" s="21">
        <v>15000</v>
      </c>
      <c r="L8" s="21">
        <v>15000</v>
      </c>
      <c r="M8" s="21"/>
      <c r="N8" s="21"/>
      <c r="O8" s="21"/>
      <c r="P8" s="21"/>
      <c r="Q8" s="21">
        <v>15000</v>
      </c>
      <c r="R8" s="21">
        <v>15000</v>
      </c>
      <c r="S8" s="21"/>
      <c r="T8" s="21"/>
      <c r="U8" s="21"/>
      <c r="V8" s="21"/>
      <c r="W8" s="21"/>
      <c r="X8" s="21"/>
      <c r="Y8" s="21">
        <v>30000</v>
      </c>
      <c r="Z8" s="21"/>
      <c r="AA8" s="21">
        <v>15000</v>
      </c>
      <c r="AB8" s="24">
        <v>15000</v>
      </c>
      <c r="AC8" s="24"/>
      <c r="AD8" s="24"/>
      <c r="AE8" s="24">
        <v>30000</v>
      </c>
      <c r="AF8" s="33"/>
      <c r="AG8" s="33">
        <v>15000</v>
      </c>
      <c r="AH8" s="33">
        <v>15000</v>
      </c>
      <c r="AI8" s="33"/>
      <c r="AJ8" s="33">
        <f t="shared" ref="AJ8:AJ22" si="2">SUM(E8:AI8)</f>
        <v>255000</v>
      </c>
      <c r="AK8" s="34">
        <f t="shared" si="0"/>
        <v>15</v>
      </c>
      <c r="AL8" s="36">
        <f t="shared" si="1"/>
        <v>17000</v>
      </c>
    </row>
    <row r="9" spans="2:38">
      <c r="B9" s="17">
        <v>4</v>
      </c>
      <c r="C9" s="18" t="s">
        <v>17</v>
      </c>
      <c r="D9" s="19" t="s">
        <v>14</v>
      </c>
      <c r="E9" s="24">
        <v>10000</v>
      </c>
      <c r="F9" s="24">
        <v>20000</v>
      </c>
      <c r="G9" s="24"/>
      <c r="H9" s="24"/>
      <c r="I9" s="24">
        <v>20000</v>
      </c>
      <c r="J9" s="24"/>
      <c r="K9" s="24"/>
      <c r="L9" s="24">
        <v>20000</v>
      </c>
      <c r="M9" s="24">
        <v>40000</v>
      </c>
      <c r="N9" s="24">
        <v>20000</v>
      </c>
      <c r="O9" s="24">
        <v>10000</v>
      </c>
      <c r="P9" s="24">
        <v>10000</v>
      </c>
      <c r="Q9" s="24">
        <v>20000</v>
      </c>
      <c r="R9" s="24">
        <v>10000</v>
      </c>
      <c r="S9" s="24">
        <v>30000</v>
      </c>
      <c r="T9" s="24">
        <v>20000</v>
      </c>
      <c r="U9" s="24"/>
      <c r="V9" s="24">
        <v>40000</v>
      </c>
      <c r="W9" s="24"/>
      <c r="X9" s="24">
        <v>10000</v>
      </c>
      <c r="Y9" s="24">
        <v>60000</v>
      </c>
      <c r="Z9" s="24">
        <v>10000</v>
      </c>
      <c r="AA9" s="24">
        <v>60000</v>
      </c>
      <c r="AB9" s="24">
        <v>20000</v>
      </c>
      <c r="AC9" s="24">
        <v>10000</v>
      </c>
      <c r="AD9" s="24">
        <v>10000</v>
      </c>
      <c r="AE9" s="24">
        <v>40000</v>
      </c>
      <c r="AF9" s="33">
        <v>30000</v>
      </c>
      <c r="AG9" s="33">
        <v>20000</v>
      </c>
      <c r="AH9" s="33">
        <v>10000</v>
      </c>
      <c r="AI9" s="33">
        <v>10000</v>
      </c>
      <c r="AJ9" s="33">
        <f t="shared" si="2"/>
        <v>560000</v>
      </c>
      <c r="AK9" s="34">
        <f t="shared" si="0"/>
        <v>26</v>
      </c>
      <c r="AL9" s="36">
        <f t="shared" si="1"/>
        <v>21538.461538461539</v>
      </c>
    </row>
    <row r="10" spans="2:38">
      <c r="B10" s="17">
        <v>5</v>
      </c>
      <c r="C10" s="18" t="s">
        <v>18</v>
      </c>
      <c r="D10" s="19" t="s">
        <v>14</v>
      </c>
      <c r="E10" s="22">
        <v>12000</v>
      </c>
      <c r="F10" s="18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>
        <v>12000</v>
      </c>
      <c r="S10" s="21"/>
      <c r="T10" s="24"/>
      <c r="U10" s="24"/>
      <c r="V10" s="25"/>
      <c r="W10" s="25"/>
      <c r="X10" s="24"/>
      <c r="Y10" s="24"/>
      <c r="Z10" s="24"/>
      <c r="AA10" s="24"/>
      <c r="AB10" s="24"/>
      <c r="AC10" s="24"/>
      <c r="AD10" s="24"/>
      <c r="AE10" s="24"/>
      <c r="AF10" s="33"/>
      <c r="AG10" s="33"/>
      <c r="AH10" s="33"/>
      <c r="AI10" s="33"/>
      <c r="AJ10" s="33">
        <f t="shared" si="2"/>
        <v>24000</v>
      </c>
      <c r="AK10" s="34">
        <f t="shared" si="0"/>
        <v>2</v>
      </c>
      <c r="AL10" s="36">
        <f t="shared" si="1"/>
        <v>12000</v>
      </c>
    </row>
    <row r="11" spans="2:38">
      <c r="B11" s="17">
        <v>6</v>
      </c>
      <c r="C11" s="23" t="s">
        <v>19</v>
      </c>
      <c r="D11" s="19" t="s">
        <v>14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>
        <v>32000</v>
      </c>
      <c r="R11" s="21">
        <v>15000</v>
      </c>
      <c r="S11" s="21"/>
      <c r="T11" s="24"/>
      <c r="U11" s="24"/>
      <c r="V11" s="24">
        <v>45000</v>
      </c>
      <c r="W11" s="24"/>
      <c r="X11" s="24">
        <v>32000</v>
      </c>
      <c r="Y11" s="24">
        <v>16000</v>
      </c>
      <c r="Z11" s="24"/>
      <c r="AA11" s="24"/>
      <c r="AB11" s="24">
        <v>16000</v>
      </c>
      <c r="AC11" s="24"/>
      <c r="AD11" s="24">
        <v>15000</v>
      </c>
      <c r="AE11" s="24"/>
      <c r="AF11" s="33"/>
      <c r="AG11" s="33"/>
      <c r="AH11" s="33"/>
      <c r="AI11" s="33">
        <v>15000</v>
      </c>
      <c r="AJ11" s="33">
        <f t="shared" si="2"/>
        <v>186000</v>
      </c>
      <c r="AK11" s="34">
        <f t="shared" si="0"/>
        <v>8</v>
      </c>
      <c r="AL11" s="36">
        <f t="shared" si="1"/>
        <v>23250</v>
      </c>
    </row>
    <row r="12" spans="2:38" ht="15.75" customHeight="1">
      <c r="B12" s="17">
        <v>7</v>
      </c>
      <c r="C12" s="18" t="s">
        <v>20</v>
      </c>
      <c r="D12" s="19" t="s">
        <v>14</v>
      </c>
      <c r="E12" s="22">
        <v>6000</v>
      </c>
      <c r="F12" s="21"/>
      <c r="G12" s="21"/>
      <c r="H12" s="21">
        <v>4000</v>
      </c>
      <c r="I12" s="21">
        <v>8000</v>
      </c>
      <c r="J12" s="21"/>
      <c r="K12" s="21"/>
      <c r="L12" s="21"/>
      <c r="M12" s="21">
        <v>2000</v>
      </c>
      <c r="N12" s="21"/>
      <c r="O12" s="21">
        <v>10000</v>
      </c>
      <c r="P12" s="21">
        <v>2000</v>
      </c>
      <c r="Q12" s="21">
        <v>6000</v>
      </c>
      <c r="R12" s="21">
        <v>2000</v>
      </c>
      <c r="S12" s="21">
        <v>6000</v>
      </c>
      <c r="T12" s="24">
        <v>4000</v>
      </c>
      <c r="U12" s="24">
        <v>8000</v>
      </c>
      <c r="V12" s="24">
        <v>12000</v>
      </c>
      <c r="W12" s="21">
        <v>2000</v>
      </c>
      <c r="X12" s="21">
        <v>4000</v>
      </c>
      <c r="Y12" s="21">
        <v>4000</v>
      </c>
      <c r="Z12" s="21">
        <v>2000</v>
      </c>
      <c r="AA12" s="21"/>
      <c r="AB12" s="24"/>
      <c r="AC12" s="24"/>
      <c r="AD12" s="24"/>
      <c r="AE12" s="24"/>
      <c r="AF12" s="33"/>
      <c r="AG12" s="33"/>
      <c r="AH12" s="33"/>
      <c r="AI12" s="33"/>
      <c r="AJ12" s="33">
        <f t="shared" si="2"/>
        <v>82000</v>
      </c>
      <c r="AK12" s="34">
        <f t="shared" si="0"/>
        <v>16</v>
      </c>
      <c r="AL12" s="36">
        <f t="shared" si="1"/>
        <v>5125</v>
      </c>
    </row>
    <row r="13" spans="2:38" ht="14.25" customHeight="1">
      <c r="B13" s="17">
        <v>8</v>
      </c>
      <c r="C13" s="18" t="s">
        <v>21</v>
      </c>
      <c r="D13" s="19" t="s">
        <v>14</v>
      </c>
      <c r="E13" s="21">
        <v>18000</v>
      </c>
      <c r="F13" s="21">
        <v>18000</v>
      </c>
      <c r="G13" s="21"/>
      <c r="H13" s="21">
        <v>36000</v>
      </c>
      <c r="I13" s="21">
        <v>18000</v>
      </c>
      <c r="J13" s="21"/>
      <c r="K13" s="21"/>
      <c r="L13" s="21"/>
      <c r="M13" s="21"/>
      <c r="N13" s="21"/>
      <c r="O13" s="21"/>
      <c r="P13" s="21"/>
      <c r="Q13" s="21"/>
      <c r="R13" s="21">
        <v>18000</v>
      </c>
      <c r="S13" s="21">
        <v>18000</v>
      </c>
      <c r="T13" s="24"/>
      <c r="U13" s="21"/>
      <c r="V13" s="21">
        <v>36000</v>
      </c>
      <c r="W13" s="21"/>
      <c r="X13" s="21">
        <v>36000</v>
      </c>
      <c r="Y13" s="21"/>
      <c r="Z13" s="21"/>
      <c r="AA13" s="21"/>
      <c r="AB13" s="24"/>
      <c r="AC13" s="24"/>
      <c r="AD13" s="24"/>
      <c r="AE13" s="24"/>
      <c r="AF13" s="33"/>
      <c r="AG13" s="33"/>
      <c r="AH13" s="33"/>
      <c r="AI13" s="33"/>
      <c r="AJ13" s="33">
        <f t="shared" si="2"/>
        <v>198000</v>
      </c>
      <c r="AK13" s="34">
        <f t="shared" si="0"/>
        <v>9</v>
      </c>
      <c r="AL13" s="36">
        <f t="shared" si="1"/>
        <v>22000</v>
      </c>
    </row>
    <row r="14" spans="2:38" ht="14.25" customHeight="1">
      <c r="B14" s="17">
        <v>9</v>
      </c>
      <c r="C14" s="18" t="s">
        <v>22</v>
      </c>
      <c r="D14" s="19" t="s">
        <v>14</v>
      </c>
      <c r="E14" s="22">
        <v>25000</v>
      </c>
      <c r="F14" s="18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4"/>
      <c r="U14" s="24"/>
      <c r="V14" s="24"/>
      <c r="W14" s="24"/>
      <c r="X14" s="24"/>
      <c r="Y14" s="24"/>
      <c r="Z14" s="24"/>
      <c r="AA14" s="24"/>
      <c r="AB14" s="24">
        <v>16000</v>
      </c>
      <c r="AC14" s="24"/>
      <c r="AD14" s="24"/>
      <c r="AE14" s="24">
        <v>15000</v>
      </c>
      <c r="AF14" s="33"/>
      <c r="AG14" s="33"/>
      <c r="AH14" s="33"/>
      <c r="AI14" s="33"/>
      <c r="AJ14" s="33">
        <f t="shared" si="2"/>
        <v>56000</v>
      </c>
      <c r="AK14" s="34">
        <f t="shared" si="0"/>
        <v>3</v>
      </c>
      <c r="AL14" s="36">
        <f t="shared" si="1"/>
        <v>18666.666666666668</v>
      </c>
    </row>
    <row r="15" spans="2:38">
      <c r="B15" s="17">
        <v>10</v>
      </c>
      <c r="C15" s="18" t="s">
        <v>23</v>
      </c>
      <c r="D15" s="19" t="s">
        <v>14</v>
      </c>
      <c r="E15" s="21"/>
      <c r="F15" s="21"/>
      <c r="G15" s="21"/>
      <c r="H15" s="21">
        <v>25000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4"/>
      <c r="AC15" s="24"/>
      <c r="AD15" s="24"/>
      <c r="AE15" s="24"/>
      <c r="AF15" s="33"/>
      <c r="AG15" s="33"/>
      <c r="AH15" s="33"/>
      <c r="AI15" s="33"/>
      <c r="AJ15" s="33">
        <f t="shared" si="2"/>
        <v>25000</v>
      </c>
      <c r="AK15" s="34">
        <f t="shared" si="0"/>
        <v>1</v>
      </c>
      <c r="AL15" s="36">
        <f t="shared" si="1"/>
        <v>25000</v>
      </c>
    </row>
    <row r="16" spans="2:38" ht="11.25" customHeight="1">
      <c r="B16" s="17">
        <v>11</v>
      </c>
      <c r="C16" s="23" t="s">
        <v>24</v>
      </c>
      <c r="D16" s="19" t="s">
        <v>14</v>
      </c>
      <c r="E16" s="21"/>
      <c r="F16" s="21"/>
      <c r="G16" s="21"/>
      <c r="H16" s="21">
        <v>25000</v>
      </c>
      <c r="I16" s="21"/>
      <c r="J16" s="21">
        <v>75000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>
        <v>25000</v>
      </c>
      <c r="V16" s="30"/>
      <c r="W16" s="30"/>
      <c r="X16" s="21"/>
      <c r="Y16" s="21"/>
      <c r="Z16" s="21"/>
      <c r="AA16" s="21"/>
      <c r="AB16" s="24"/>
      <c r="AC16" s="24"/>
      <c r="AD16" s="24"/>
      <c r="AE16" s="24"/>
      <c r="AF16" s="33"/>
      <c r="AG16" s="33"/>
      <c r="AH16" s="33"/>
      <c r="AI16" s="33"/>
      <c r="AJ16" s="33">
        <f t="shared" si="2"/>
        <v>125000</v>
      </c>
      <c r="AK16" s="34">
        <f t="shared" si="0"/>
        <v>3</v>
      </c>
      <c r="AL16" s="36">
        <f t="shared" si="1"/>
        <v>41666.666666666664</v>
      </c>
    </row>
    <row r="17" spans="2:38">
      <c r="B17" s="17">
        <v>12</v>
      </c>
      <c r="C17" s="18" t="s">
        <v>25</v>
      </c>
      <c r="D17" s="19" t="s">
        <v>14</v>
      </c>
      <c r="E17" s="22"/>
      <c r="F17" s="18"/>
      <c r="G17" s="21"/>
      <c r="H17" s="21">
        <v>5000</v>
      </c>
      <c r="I17" s="21">
        <v>5000</v>
      </c>
      <c r="J17" s="21"/>
      <c r="K17" s="21"/>
      <c r="L17" s="21">
        <v>35000</v>
      </c>
      <c r="M17" s="21"/>
      <c r="N17" s="21"/>
      <c r="O17" s="21"/>
      <c r="P17" s="21">
        <v>10000</v>
      </c>
      <c r="Q17" s="21">
        <v>10000</v>
      </c>
      <c r="R17" s="21"/>
      <c r="S17" s="21">
        <v>15000</v>
      </c>
      <c r="T17" s="21">
        <v>5000</v>
      </c>
      <c r="U17" s="21">
        <v>5000</v>
      </c>
      <c r="V17" s="31">
        <v>15000</v>
      </c>
      <c r="W17" s="31">
        <v>5000</v>
      </c>
      <c r="X17" s="24">
        <v>10000</v>
      </c>
      <c r="Y17" s="24"/>
      <c r="Z17" s="24">
        <v>15000</v>
      </c>
      <c r="AA17" s="24">
        <v>5000</v>
      </c>
      <c r="AB17" s="24">
        <v>10000</v>
      </c>
      <c r="AC17" s="24">
        <v>5000</v>
      </c>
      <c r="AD17" s="24"/>
      <c r="AE17" s="24"/>
      <c r="AF17" s="33"/>
      <c r="AG17" s="33"/>
      <c r="AH17" s="33"/>
      <c r="AI17" s="33"/>
      <c r="AJ17" s="33">
        <f t="shared" si="2"/>
        <v>155000</v>
      </c>
      <c r="AK17" s="34">
        <f t="shared" si="0"/>
        <v>15</v>
      </c>
      <c r="AL17" s="36">
        <f t="shared" si="1"/>
        <v>10333.333333333334</v>
      </c>
    </row>
    <row r="18" spans="2:38">
      <c r="B18" s="17">
        <v>13</v>
      </c>
      <c r="C18" s="23" t="s">
        <v>26</v>
      </c>
      <c r="D18" s="19" t="s">
        <v>14</v>
      </c>
      <c r="E18" s="21"/>
      <c r="F18" s="21"/>
      <c r="G18" s="21"/>
      <c r="H18" s="21"/>
      <c r="I18" s="21">
        <v>22000</v>
      </c>
      <c r="J18" s="21"/>
      <c r="K18" s="21"/>
      <c r="L18" s="21"/>
      <c r="M18" s="21"/>
      <c r="N18" s="21"/>
      <c r="O18" s="21"/>
      <c r="P18" s="21">
        <v>22000</v>
      </c>
      <c r="Q18" s="21"/>
      <c r="R18" s="21"/>
      <c r="S18" s="21">
        <v>22000</v>
      </c>
      <c r="T18" s="21"/>
      <c r="U18" s="21"/>
      <c r="V18" s="21"/>
      <c r="W18" s="21"/>
      <c r="X18" s="21"/>
      <c r="Y18" s="21"/>
      <c r="Z18" s="21"/>
      <c r="AA18" s="21"/>
      <c r="AB18" s="24"/>
      <c r="AC18" s="24"/>
      <c r="AD18" s="24"/>
      <c r="AE18" s="24"/>
      <c r="AF18" s="33"/>
      <c r="AG18" s="33"/>
      <c r="AH18" s="33"/>
      <c r="AI18" s="33"/>
      <c r="AJ18" s="33">
        <f t="shared" si="2"/>
        <v>66000</v>
      </c>
      <c r="AK18" s="34">
        <f t="shared" si="0"/>
        <v>3</v>
      </c>
      <c r="AL18" s="36">
        <f t="shared" si="1"/>
        <v>22000</v>
      </c>
    </row>
    <row r="19" spans="2:38">
      <c r="B19" s="17">
        <v>14</v>
      </c>
      <c r="C19" s="18" t="s">
        <v>27</v>
      </c>
      <c r="D19" s="19" t="s">
        <v>14</v>
      </c>
      <c r="E19" s="22"/>
      <c r="F19" s="18"/>
      <c r="G19" s="25"/>
      <c r="H19" s="25"/>
      <c r="I19" s="25"/>
      <c r="J19" s="25">
        <v>40000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4"/>
      <c r="AF19" s="33"/>
      <c r="AG19" s="33"/>
      <c r="AH19" s="33"/>
      <c r="AI19" s="33"/>
      <c r="AJ19" s="33">
        <f t="shared" si="2"/>
        <v>40000</v>
      </c>
      <c r="AK19" s="34">
        <f t="shared" si="0"/>
        <v>1</v>
      </c>
      <c r="AL19" s="36">
        <f t="shared" si="1"/>
        <v>40000</v>
      </c>
    </row>
    <row r="20" spans="2:38">
      <c r="B20" s="17">
        <v>15</v>
      </c>
      <c r="C20" s="18" t="s">
        <v>28</v>
      </c>
      <c r="D20" s="19" t="s">
        <v>14</v>
      </c>
      <c r="E20" s="21"/>
      <c r="F20" s="21"/>
      <c r="G20" s="21"/>
      <c r="H20" s="21"/>
      <c r="I20" s="21"/>
      <c r="J20" s="21"/>
      <c r="K20" s="21">
        <v>23000</v>
      </c>
      <c r="L20" s="21"/>
      <c r="M20" s="21"/>
      <c r="N20" s="21"/>
      <c r="O20" s="21">
        <v>20000</v>
      </c>
      <c r="P20" s="21"/>
      <c r="Q20" s="21"/>
      <c r="R20" s="21"/>
      <c r="S20" s="21"/>
      <c r="T20" s="21"/>
      <c r="U20" s="21"/>
      <c r="V20" s="21">
        <v>20000</v>
      </c>
      <c r="W20" s="21"/>
      <c r="X20" s="21"/>
      <c r="Y20" s="21"/>
      <c r="Z20" s="21"/>
      <c r="AA20" s="21"/>
      <c r="AB20" s="24"/>
      <c r="AC20" s="24"/>
      <c r="AD20" s="24"/>
      <c r="AE20" s="24"/>
      <c r="AF20" s="33"/>
      <c r="AG20" s="33"/>
      <c r="AH20" s="33"/>
      <c r="AI20" s="33"/>
      <c r="AJ20" s="33">
        <f t="shared" si="2"/>
        <v>63000</v>
      </c>
      <c r="AK20" s="34">
        <f t="shared" si="0"/>
        <v>3</v>
      </c>
      <c r="AL20" s="36">
        <f t="shared" si="1"/>
        <v>21000</v>
      </c>
    </row>
    <row r="21" spans="2:38">
      <c r="B21" s="17">
        <v>16</v>
      </c>
      <c r="C21" s="18" t="s">
        <v>29</v>
      </c>
      <c r="D21" s="19" t="s">
        <v>14</v>
      </c>
      <c r="E21" s="22"/>
      <c r="F21" s="18"/>
      <c r="G21" s="24"/>
      <c r="H21" s="24"/>
      <c r="I21" s="24"/>
      <c r="J21" s="24"/>
      <c r="K21" s="24">
        <v>25000</v>
      </c>
      <c r="L21" s="24"/>
      <c r="M21" s="24"/>
      <c r="N21" s="24"/>
      <c r="O21" s="24"/>
      <c r="P21" s="24"/>
      <c r="Q21" s="24">
        <v>25000</v>
      </c>
      <c r="R21" s="24"/>
      <c r="S21" s="24"/>
      <c r="T21" s="24"/>
      <c r="U21" s="24">
        <v>20000</v>
      </c>
      <c r="V21" s="18">
        <v>18000</v>
      </c>
      <c r="W21" s="18"/>
      <c r="X21" s="24">
        <v>20000</v>
      </c>
      <c r="Y21" s="24"/>
      <c r="Z21" s="24"/>
      <c r="AA21" s="24"/>
      <c r="AB21" s="24">
        <v>18000</v>
      </c>
      <c r="AC21" s="24"/>
      <c r="AD21" s="24"/>
      <c r="AE21" s="24">
        <v>18000</v>
      </c>
      <c r="AF21" s="33"/>
      <c r="AG21" s="33"/>
      <c r="AH21" s="33"/>
      <c r="AI21" s="33"/>
      <c r="AJ21" s="33">
        <f t="shared" si="2"/>
        <v>144000</v>
      </c>
      <c r="AK21" s="34">
        <f t="shared" si="0"/>
        <v>7</v>
      </c>
      <c r="AL21" s="36">
        <f t="shared" si="1"/>
        <v>20571.428571428572</v>
      </c>
    </row>
    <row r="22" spans="2:38">
      <c r="B22" s="17">
        <v>17</v>
      </c>
      <c r="C22" s="18" t="s">
        <v>30</v>
      </c>
      <c r="D22" s="19" t="s">
        <v>31</v>
      </c>
      <c r="E22" s="20"/>
      <c r="F22" s="21">
        <v>65000</v>
      </c>
      <c r="G22" s="21">
        <v>65000</v>
      </c>
      <c r="H22" s="21">
        <v>25000</v>
      </c>
      <c r="I22" s="21"/>
      <c r="J22" s="21"/>
      <c r="K22" s="21">
        <v>40000</v>
      </c>
      <c r="L22" s="21"/>
      <c r="M22" s="21">
        <v>15000</v>
      </c>
      <c r="N22" s="21">
        <v>25000</v>
      </c>
      <c r="O22" s="21"/>
      <c r="P22" s="21"/>
      <c r="Q22" s="21"/>
      <c r="R22" s="21">
        <v>30000</v>
      </c>
      <c r="S22" s="21">
        <v>45000</v>
      </c>
      <c r="T22" s="21"/>
      <c r="U22" s="21"/>
      <c r="V22" s="30">
        <v>25000</v>
      </c>
      <c r="W22" s="30"/>
      <c r="X22" s="21"/>
      <c r="Y22" s="21"/>
      <c r="Z22" s="21"/>
      <c r="AA22" s="21"/>
      <c r="AB22" s="24"/>
      <c r="AC22" s="24"/>
      <c r="AD22" s="24"/>
      <c r="AE22" s="24"/>
      <c r="AF22" s="33"/>
      <c r="AG22" s="33"/>
      <c r="AH22" s="33"/>
      <c r="AI22" s="33"/>
      <c r="AJ22" s="33">
        <f t="shared" si="2"/>
        <v>335000</v>
      </c>
      <c r="AK22" s="34">
        <f t="shared" si="0"/>
        <v>10</v>
      </c>
      <c r="AL22" s="36">
        <f t="shared" si="1"/>
        <v>33500</v>
      </c>
    </row>
    <row r="23" spans="2:38" ht="14.25" customHeight="1">
      <c r="B23" s="17"/>
      <c r="C23" s="18"/>
      <c r="D23" s="19"/>
      <c r="E23" s="22"/>
      <c r="F23" s="18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4"/>
      <c r="AC23" s="24"/>
      <c r="AD23" s="24"/>
      <c r="AE23" s="24"/>
      <c r="AF23" s="33"/>
      <c r="AG23" s="33"/>
      <c r="AH23" s="33"/>
      <c r="AI23" s="33"/>
      <c r="AJ23" s="33"/>
      <c r="AK23" s="34"/>
      <c r="AL23" s="36"/>
    </row>
    <row r="24" spans="2:38">
      <c r="B24" s="17"/>
      <c r="C24" s="26"/>
      <c r="D24" s="19"/>
      <c r="E24" s="20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67"/>
      <c r="AG24" s="67"/>
      <c r="AH24" s="67"/>
      <c r="AI24" s="67"/>
      <c r="AJ24" s="33"/>
      <c r="AK24" s="34"/>
      <c r="AL24" s="36"/>
    </row>
    <row r="25" spans="2:38">
      <c r="B25" s="17"/>
      <c r="C25" s="18"/>
      <c r="D25" s="19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4"/>
      <c r="AC25" s="24"/>
      <c r="AD25" s="24"/>
      <c r="AE25" s="24"/>
      <c r="AF25" s="33"/>
      <c r="AG25" s="33"/>
      <c r="AH25" s="33"/>
      <c r="AI25" s="33"/>
      <c r="AJ25" s="33"/>
      <c r="AK25" s="34"/>
      <c r="AL25" s="36"/>
    </row>
    <row r="26" spans="2:38" ht="15" customHeight="1">
      <c r="B26" s="17"/>
      <c r="C26" s="26"/>
      <c r="D26" s="19"/>
      <c r="E26" s="20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67"/>
      <c r="AG26" s="67"/>
      <c r="AH26" s="67"/>
      <c r="AI26" s="67"/>
      <c r="AJ26" s="33"/>
      <c r="AK26" s="34"/>
      <c r="AL26" s="36"/>
    </row>
    <row r="27" spans="2:38" ht="15" customHeight="1">
      <c r="B27" s="17"/>
      <c r="C27" s="18"/>
      <c r="D27" s="19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33"/>
      <c r="AG27" s="33"/>
      <c r="AH27" s="33"/>
      <c r="AI27" s="33"/>
      <c r="AJ27" s="33"/>
      <c r="AK27" s="34"/>
      <c r="AL27" s="36"/>
    </row>
    <row r="28" spans="2:38">
      <c r="B28" s="17"/>
      <c r="C28" s="18"/>
      <c r="D28" s="19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33"/>
      <c r="AG28" s="33"/>
      <c r="AH28" s="33"/>
      <c r="AI28" s="33"/>
      <c r="AJ28" s="33"/>
      <c r="AK28" s="34"/>
      <c r="AL28" s="36"/>
    </row>
    <row r="29" spans="2:38" ht="15.75" customHeight="1">
      <c r="B29" s="17"/>
      <c r="C29" s="18"/>
      <c r="D29" s="19"/>
      <c r="E29" s="22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9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33"/>
      <c r="AG29" s="33"/>
      <c r="AH29" s="33"/>
      <c r="AI29" s="33"/>
      <c r="AJ29" s="33"/>
      <c r="AK29" s="34"/>
      <c r="AL29" s="36"/>
    </row>
    <row r="30" spans="2:38" ht="13.5" customHeight="1">
      <c r="B30" s="17"/>
      <c r="C30" s="18"/>
      <c r="D30" s="19"/>
      <c r="E30" s="18"/>
      <c r="F30" s="22"/>
      <c r="G30" s="24"/>
      <c r="H30" s="24"/>
      <c r="I30" s="24"/>
      <c r="J30" s="24"/>
      <c r="K30" s="24"/>
      <c r="L30" s="24"/>
      <c r="M30" s="24"/>
      <c r="N30" s="24"/>
      <c r="O30" s="24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4"/>
      <c r="AC30" s="24"/>
      <c r="AD30" s="24"/>
      <c r="AE30" s="24"/>
      <c r="AF30" s="33"/>
      <c r="AG30" s="33"/>
      <c r="AH30" s="33"/>
      <c r="AI30" s="33"/>
      <c r="AJ30" s="33"/>
      <c r="AK30" s="34"/>
      <c r="AL30" s="36"/>
    </row>
    <row r="31" spans="2:38">
      <c r="B31" s="17"/>
      <c r="C31" s="18"/>
      <c r="D31" s="19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33"/>
      <c r="AG31" s="33"/>
      <c r="AH31" s="33"/>
      <c r="AI31" s="33"/>
      <c r="AJ31" s="33"/>
      <c r="AK31" s="34"/>
      <c r="AL31" s="36"/>
    </row>
    <row r="32" spans="2:38">
      <c r="B32" s="17"/>
      <c r="C32" s="18"/>
      <c r="D32" s="19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33"/>
      <c r="AG32" s="33"/>
      <c r="AH32" s="33"/>
      <c r="AI32" s="33"/>
      <c r="AJ32" s="33"/>
      <c r="AK32" s="34"/>
      <c r="AL32" s="36"/>
    </row>
    <row r="33" spans="2:38">
      <c r="B33" s="17"/>
      <c r="C33" s="18"/>
      <c r="D33" s="19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33"/>
      <c r="AG33" s="33"/>
      <c r="AH33" s="33"/>
      <c r="AI33" s="33"/>
      <c r="AJ33" s="33"/>
      <c r="AK33" s="34"/>
      <c r="AL33" s="36"/>
    </row>
    <row r="34" spans="2:38">
      <c r="B34" s="17"/>
      <c r="C34" s="23"/>
      <c r="D34" s="19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4"/>
      <c r="U34" s="24"/>
      <c r="V34" s="18"/>
      <c r="W34" s="30"/>
      <c r="X34" s="21"/>
      <c r="Y34" s="21"/>
      <c r="Z34" s="21"/>
      <c r="AA34" s="21"/>
      <c r="AB34" s="24"/>
      <c r="AC34" s="24"/>
      <c r="AD34" s="24"/>
      <c r="AE34" s="24"/>
      <c r="AF34" s="33"/>
      <c r="AG34" s="33"/>
      <c r="AH34" s="33"/>
      <c r="AI34" s="33"/>
      <c r="AJ34" s="33"/>
      <c r="AK34" s="34"/>
      <c r="AL34" s="36"/>
    </row>
    <row r="35" spans="2:38">
      <c r="B35" s="17"/>
      <c r="C35" s="28"/>
      <c r="D35" s="19"/>
      <c r="E35" s="2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1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33"/>
      <c r="AG35" s="33"/>
      <c r="AH35" s="33"/>
      <c r="AI35" s="33"/>
      <c r="AJ35" s="33"/>
      <c r="AK35" s="34"/>
      <c r="AL35" s="36"/>
    </row>
    <row r="36" spans="2:38">
      <c r="B36" s="17"/>
      <c r="C36" s="18"/>
      <c r="D36" s="19"/>
      <c r="E36" s="18"/>
      <c r="F36" s="22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4"/>
      <c r="AC36" s="24"/>
      <c r="AD36" s="24"/>
      <c r="AE36" s="24"/>
      <c r="AF36" s="33"/>
      <c r="AG36" s="33"/>
      <c r="AH36" s="33"/>
      <c r="AI36" s="33"/>
      <c r="AJ36" s="33"/>
      <c r="AK36" s="34"/>
      <c r="AL36" s="36"/>
    </row>
    <row r="37" spans="2:38">
      <c r="B37" s="17"/>
      <c r="C37" s="18"/>
      <c r="D37" s="19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4"/>
      <c r="AC37" s="24"/>
      <c r="AD37" s="24"/>
      <c r="AE37" s="24"/>
      <c r="AF37" s="33"/>
      <c r="AG37" s="33"/>
      <c r="AH37" s="33"/>
      <c r="AI37" s="33"/>
      <c r="AJ37" s="33"/>
      <c r="AK37" s="34"/>
      <c r="AL37" s="36"/>
    </row>
    <row r="38" spans="2:38" ht="12.75" customHeight="1">
      <c r="B38" s="17"/>
      <c r="C38" s="18"/>
      <c r="D38" s="19"/>
      <c r="E38" s="22"/>
      <c r="F38" s="18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4"/>
      <c r="AC38" s="24"/>
      <c r="AD38" s="24"/>
      <c r="AE38" s="24"/>
      <c r="AF38" s="33"/>
      <c r="AG38" s="33"/>
      <c r="AH38" s="33"/>
      <c r="AI38" s="33"/>
      <c r="AJ38" s="33"/>
      <c r="AK38" s="34"/>
      <c r="AL38" s="36"/>
    </row>
    <row r="39" spans="2:38">
      <c r="B39" s="17"/>
      <c r="C39" s="18"/>
      <c r="D39" s="19"/>
      <c r="E39" s="22"/>
      <c r="F39" s="18"/>
      <c r="G39" s="18"/>
      <c r="H39" s="18"/>
      <c r="I39" s="18"/>
      <c r="J39" s="18"/>
      <c r="K39" s="18"/>
      <c r="L39" s="18"/>
      <c r="M39" s="34"/>
      <c r="N39" s="34"/>
      <c r="O39" s="25"/>
      <c r="P39" s="25"/>
      <c r="Q39" s="25"/>
      <c r="R39" s="25"/>
      <c r="S39" s="25"/>
      <c r="T39" s="25"/>
      <c r="U39" s="25"/>
      <c r="V39" s="18"/>
      <c r="W39" s="18"/>
      <c r="X39" s="18"/>
      <c r="Y39" s="18"/>
      <c r="Z39" s="18"/>
      <c r="AA39" s="18"/>
      <c r="AB39" s="18"/>
      <c r="AC39" s="18"/>
      <c r="AD39" s="18"/>
      <c r="AE39" s="24"/>
      <c r="AF39" s="33"/>
      <c r="AG39" s="33"/>
      <c r="AH39" s="33"/>
      <c r="AI39" s="33"/>
      <c r="AJ39" s="33"/>
      <c r="AK39" s="34"/>
      <c r="AL39" s="36"/>
    </row>
    <row r="40" spans="2:38">
      <c r="B40" s="17"/>
      <c r="C40" s="18"/>
      <c r="D40" s="19"/>
      <c r="E40" s="22"/>
      <c r="F40" s="18"/>
      <c r="G40" s="24"/>
      <c r="H40" s="24"/>
      <c r="I40" s="24"/>
      <c r="J40" s="24"/>
      <c r="K40" s="24"/>
      <c r="L40" s="24"/>
      <c r="M40" s="24"/>
      <c r="N40" s="24"/>
      <c r="O40" s="24"/>
      <c r="P40" s="25"/>
      <c r="Q40" s="25"/>
      <c r="R40" s="25"/>
      <c r="S40" s="25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33"/>
      <c r="AG40" s="33"/>
      <c r="AH40" s="33"/>
      <c r="AI40" s="33"/>
      <c r="AJ40" s="33"/>
      <c r="AK40" s="34"/>
      <c r="AL40" s="36"/>
    </row>
    <row r="41" spans="2:38">
      <c r="B41" s="17"/>
      <c r="C41" s="18"/>
      <c r="D41" s="19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4"/>
      <c r="AC41" s="24"/>
      <c r="AD41" s="24"/>
      <c r="AE41" s="24"/>
      <c r="AF41" s="33"/>
      <c r="AG41" s="33"/>
      <c r="AH41" s="33"/>
      <c r="AI41" s="33"/>
      <c r="AJ41" s="33"/>
      <c r="AK41" s="34"/>
      <c r="AL41" s="36"/>
    </row>
    <row r="42" spans="2:38">
      <c r="B42" s="17"/>
      <c r="C42" s="18"/>
      <c r="D42" s="19"/>
      <c r="E42" s="22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4"/>
      <c r="U42" s="21"/>
      <c r="V42" s="21"/>
      <c r="W42" s="21"/>
      <c r="X42" s="21"/>
      <c r="Y42" s="21"/>
      <c r="Z42" s="21"/>
      <c r="AA42" s="21"/>
      <c r="AB42" s="24"/>
      <c r="AC42" s="24"/>
      <c r="AD42" s="24"/>
      <c r="AE42" s="24"/>
      <c r="AF42" s="33"/>
      <c r="AG42" s="33"/>
      <c r="AH42" s="33"/>
      <c r="AI42" s="33"/>
      <c r="AJ42" s="33"/>
      <c r="AK42" s="34"/>
      <c r="AL42" s="36"/>
    </row>
    <row r="43" spans="2:38">
      <c r="B43" s="17"/>
      <c r="C43" s="18"/>
      <c r="D43" s="19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4"/>
      <c r="AC43" s="24"/>
      <c r="AD43" s="24"/>
      <c r="AE43" s="24"/>
      <c r="AF43" s="33"/>
      <c r="AG43" s="33"/>
      <c r="AH43" s="33"/>
      <c r="AI43" s="33"/>
      <c r="AJ43" s="33"/>
      <c r="AK43" s="34"/>
      <c r="AL43" s="36"/>
    </row>
    <row r="44" spans="2:38">
      <c r="B44" s="17"/>
      <c r="C44" s="23"/>
      <c r="D44" s="19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4"/>
      <c r="AC44" s="24"/>
      <c r="AD44" s="24"/>
      <c r="AE44" s="24"/>
      <c r="AF44" s="33"/>
      <c r="AG44" s="33"/>
      <c r="AH44" s="33"/>
      <c r="AI44" s="33"/>
      <c r="AJ44" s="33"/>
      <c r="AK44" s="34"/>
      <c r="AL44" s="36"/>
    </row>
    <row r="45" spans="2:38">
      <c r="B45" s="17"/>
      <c r="C45" s="18"/>
      <c r="D45" s="19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1"/>
      <c r="X45" s="21"/>
      <c r="Y45" s="21"/>
      <c r="Z45" s="21"/>
      <c r="AA45" s="21"/>
      <c r="AB45" s="24"/>
      <c r="AC45" s="24"/>
      <c r="AD45" s="24"/>
      <c r="AE45" s="24"/>
      <c r="AF45" s="33"/>
      <c r="AG45" s="33"/>
      <c r="AH45" s="33"/>
      <c r="AI45" s="33"/>
      <c r="AJ45" s="33"/>
      <c r="AK45" s="34"/>
      <c r="AL45" s="36"/>
    </row>
    <row r="46" spans="2:38">
      <c r="B46" s="17"/>
      <c r="C46" s="18"/>
      <c r="D46" s="19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4"/>
      <c r="AC46" s="24"/>
      <c r="AD46" s="24"/>
      <c r="AE46" s="24"/>
      <c r="AF46" s="33"/>
      <c r="AG46" s="33"/>
      <c r="AH46" s="33"/>
      <c r="AI46" s="33"/>
      <c r="AJ46" s="33"/>
      <c r="AK46" s="34"/>
      <c r="AL46" s="36"/>
    </row>
    <row r="47" spans="2:38">
      <c r="B47" s="17"/>
      <c r="C47" s="18"/>
      <c r="D47" s="19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4"/>
      <c r="AC47" s="24"/>
      <c r="AD47" s="24"/>
      <c r="AE47" s="24"/>
      <c r="AF47" s="33"/>
      <c r="AG47" s="33"/>
      <c r="AH47" s="33"/>
      <c r="AI47" s="33"/>
      <c r="AJ47" s="33"/>
      <c r="AK47" s="34"/>
      <c r="AL47" s="36"/>
    </row>
    <row r="48" spans="2:38">
      <c r="B48" s="17"/>
      <c r="C48" s="18"/>
      <c r="D48" s="19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33"/>
      <c r="AG48" s="33"/>
      <c r="AH48" s="33"/>
      <c r="AI48" s="33"/>
      <c r="AJ48" s="33"/>
      <c r="AK48" s="34"/>
      <c r="AL48" s="36"/>
    </row>
    <row r="49" spans="2:38">
      <c r="B49" s="17"/>
      <c r="C49" s="18"/>
      <c r="D49" s="19"/>
      <c r="E49" s="22"/>
      <c r="F49" s="18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33"/>
      <c r="AG49" s="33"/>
      <c r="AH49" s="33"/>
      <c r="AI49" s="33"/>
      <c r="AJ49" s="33"/>
      <c r="AK49" s="34"/>
      <c r="AL49" s="36"/>
    </row>
    <row r="50" spans="2:38">
      <c r="B50" s="17"/>
      <c r="C50" s="18"/>
      <c r="D50" s="19"/>
      <c r="E50" s="22"/>
      <c r="F50" s="18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32"/>
      <c r="W50" s="32"/>
      <c r="X50" s="24"/>
      <c r="Y50" s="24"/>
      <c r="Z50" s="24"/>
      <c r="AA50" s="24"/>
      <c r="AB50" s="24"/>
      <c r="AC50" s="24"/>
      <c r="AD50" s="24"/>
      <c r="AE50" s="24"/>
      <c r="AF50" s="33"/>
      <c r="AG50" s="33"/>
      <c r="AH50" s="33"/>
      <c r="AI50" s="33"/>
      <c r="AJ50" s="33"/>
      <c r="AK50" s="34"/>
      <c r="AL50" s="36"/>
    </row>
    <row r="51" spans="2:38">
      <c r="B51" s="17"/>
      <c r="C51" s="18"/>
      <c r="D51" s="19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33"/>
      <c r="AG51" s="33"/>
      <c r="AH51" s="33"/>
      <c r="AI51" s="33"/>
      <c r="AJ51" s="33"/>
      <c r="AK51" s="34"/>
      <c r="AL51" s="36"/>
    </row>
    <row r="52" spans="2:38">
      <c r="B52" s="17"/>
      <c r="C52" s="23"/>
      <c r="D52" s="19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30"/>
      <c r="W52" s="30"/>
      <c r="X52" s="21"/>
      <c r="Y52" s="21"/>
      <c r="Z52" s="21"/>
      <c r="AA52" s="21"/>
      <c r="AB52" s="24"/>
      <c r="AC52" s="24"/>
      <c r="AD52" s="24"/>
      <c r="AE52" s="24"/>
      <c r="AF52" s="33"/>
      <c r="AG52" s="33"/>
      <c r="AH52" s="33"/>
      <c r="AI52" s="33"/>
      <c r="AJ52" s="33"/>
      <c r="AK52" s="34"/>
      <c r="AL52" s="36"/>
    </row>
    <row r="53" spans="2:38">
      <c r="B53" s="17"/>
      <c r="C53" s="18"/>
      <c r="D53" s="19"/>
      <c r="E53" s="22"/>
      <c r="F53" s="18"/>
      <c r="G53" s="24"/>
      <c r="H53" s="24"/>
      <c r="I53" s="24"/>
      <c r="J53" s="24"/>
      <c r="K53" s="24"/>
      <c r="L53" s="24"/>
      <c r="M53" s="24"/>
      <c r="N53" s="24"/>
      <c r="O53" s="24"/>
      <c r="P53" s="31"/>
      <c r="Q53" s="31"/>
      <c r="R53" s="31"/>
      <c r="S53" s="31"/>
      <c r="T53" s="31"/>
      <c r="U53" s="31"/>
      <c r="V53" s="31"/>
      <c r="W53" s="31"/>
      <c r="X53" s="24"/>
      <c r="Y53" s="24"/>
      <c r="Z53" s="24"/>
      <c r="AA53" s="24"/>
      <c r="AB53" s="24"/>
      <c r="AC53" s="24"/>
      <c r="AD53" s="24"/>
      <c r="AE53" s="24"/>
      <c r="AF53" s="33"/>
      <c r="AG53" s="33"/>
      <c r="AH53" s="33"/>
      <c r="AI53" s="33"/>
      <c r="AJ53" s="33"/>
      <c r="AK53" s="34"/>
      <c r="AL53" s="36"/>
    </row>
    <row r="54" spans="2:38">
      <c r="B54" s="17"/>
      <c r="C54" s="18"/>
      <c r="D54" s="19"/>
      <c r="E54" s="22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4"/>
      <c r="AC54" s="24"/>
      <c r="AD54" s="24"/>
      <c r="AE54" s="24"/>
      <c r="AF54" s="33"/>
      <c r="AG54" s="33"/>
      <c r="AH54" s="33"/>
      <c r="AI54" s="33"/>
      <c r="AJ54" s="33"/>
      <c r="AK54" s="34"/>
      <c r="AL54" s="36"/>
    </row>
    <row r="55" spans="2:38">
      <c r="B55" s="17"/>
      <c r="C55" s="18"/>
      <c r="D55" s="19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4"/>
      <c r="AC55" s="24"/>
      <c r="AD55" s="24"/>
      <c r="AE55" s="24"/>
      <c r="AF55" s="33"/>
      <c r="AG55" s="33"/>
      <c r="AH55" s="33"/>
      <c r="AI55" s="33"/>
      <c r="AJ55" s="33"/>
      <c r="AK55" s="34"/>
      <c r="AL55" s="36"/>
    </row>
    <row r="56" spans="2:38">
      <c r="B56" s="17"/>
      <c r="C56" s="18"/>
      <c r="D56" s="19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4"/>
      <c r="AC56" s="24"/>
      <c r="AD56" s="24"/>
      <c r="AE56" s="24"/>
      <c r="AF56" s="33"/>
      <c r="AG56" s="33"/>
      <c r="AH56" s="33"/>
      <c r="AI56" s="33"/>
      <c r="AJ56" s="33"/>
      <c r="AK56" s="34"/>
      <c r="AL56" s="36"/>
    </row>
    <row r="57" spans="2:38">
      <c r="B57" s="17"/>
      <c r="C57" s="18"/>
      <c r="D57" s="19"/>
      <c r="E57" s="22"/>
      <c r="F57" s="18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4"/>
      <c r="Y57" s="24"/>
      <c r="Z57" s="24"/>
      <c r="AA57" s="24"/>
      <c r="AB57" s="24"/>
      <c r="AC57" s="24"/>
      <c r="AD57" s="24"/>
      <c r="AE57" s="24"/>
      <c r="AF57" s="33"/>
      <c r="AG57" s="33"/>
      <c r="AH57" s="33"/>
      <c r="AI57" s="33"/>
      <c r="AJ57" s="33"/>
      <c r="AK57" s="34"/>
      <c r="AL57" s="36"/>
    </row>
    <row r="58" spans="2:38">
      <c r="B58" s="17"/>
      <c r="C58" s="18"/>
      <c r="D58" s="19"/>
      <c r="E58" s="22"/>
      <c r="F58" s="18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4"/>
      <c r="U58" s="24"/>
      <c r="V58" s="25"/>
      <c r="W58" s="25"/>
      <c r="X58" s="24"/>
      <c r="Y58" s="24"/>
      <c r="Z58" s="24"/>
      <c r="AA58" s="24"/>
      <c r="AB58" s="24"/>
      <c r="AC58" s="24"/>
      <c r="AD58" s="24"/>
      <c r="AE58" s="24"/>
      <c r="AF58" s="33"/>
      <c r="AG58" s="33"/>
      <c r="AH58" s="33"/>
      <c r="AI58" s="33"/>
      <c r="AJ58" s="33"/>
      <c r="AK58" s="34"/>
      <c r="AL58" s="36"/>
    </row>
    <row r="59" spans="2:38">
      <c r="B59" s="17"/>
      <c r="C59" s="18"/>
      <c r="D59" s="19"/>
      <c r="E59" s="22"/>
      <c r="F59" s="18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4"/>
      <c r="Y59" s="24"/>
      <c r="Z59" s="24"/>
      <c r="AA59" s="24"/>
      <c r="AB59" s="24"/>
      <c r="AC59" s="24"/>
      <c r="AD59" s="24"/>
      <c r="AE59" s="24"/>
      <c r="AF59" s="33"/>
      <c r="AG59" s="33"/>
      <c r="AH59" s="33"/>
      <c r="AI59" s="33"/>
      <c r="AJ59" s="33"/>
      <c r="AK59" s="34"/>
      <c r="AL59" s="36"/>
    </row>
    <row r="60" spans="2:38">
      <c r="B60" s="17"/>
      <c r="C60" s="18"/>
      <c r="D60" s="19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33"/>
      <c r="AG60" s="33"/>
      <c r="AH60" s="33"/>
      <c r="AI60" s="33"/>
      <c r="AJ60" s="33"/>
      <c r="AK60" s="34"/>
      <c r="AL60" s="36"/>
    </row>
    <row r="61" spans="2:38">
      <c r="B61" s="17"/>
      <c r="C61" s="18"/>
      <c r="D61" s="19"/>
      <c r="E61" s="18"/>
      <c r="F61" s="22"/>
      <c r="G61" s="24"/>
      <c r="H61" s="24"/>
      <c r="I61" s="24"/>
      <c r="J61" s="24"/>
      <c r="K61" s="24"/>
      <c r="L61" s="24"/>
      <c r="M61" s="24"/>
      <c r="N61" s="24"/>
      <c r="O61" s="24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4"/>
      <c r="AC61" s="24"/>
      <c r="AD61" s="24"/>
      <c r="AE61" s="24"/>
      <c r="AF61" s="33"/>
      <c r="AG61" s="33"/>
      <c r="AH61" s="33"/>
      <c r="AI61" s="33"/>
      <c r="AJ61" s="33"/>
      <c r="AK61" s="34"/>
      <c r="AL61" s="36"/>
    </row>
    <row r="62" spans="2:38">
      <c r="B62" s="17"/>
      <c r="C62" s="18"/>
      <c r="D62" s="19"/>
      <c r="E62" s="22"/>
      <c r="F62" s="18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33"/>
      <c r="AG62" s="33"/>
      <c r="AH62" s="33"/>
      <c r="AI62" s="33"/>
      <c r="AJ62" s="33"/>
      <c r="AK62" s="34"/>
      <c r="AL62" s="36"/>
    </row>
    <row r="63" spans="2:38">
      <c r="B63" s="17"/>
      <c r="C63" s="18"/>
      <c r="D63" s="19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1"/>
      <c r="V63" s="21"/>
      <c r="W63" s="21"/>
      <c r="X63" s="21"/>
      <c r="Y63" s="21"/>
      <c r="Z63" s="21"/>
      <c r="AA63" s="21"/>
      <c r="AB63" s="24"/>
      <c r="AC63" s="24"/>
      <c r="AD63" s="24"/>
      <c r="AE63" s="24"/>
      <c r="AF63" s="33"/>
      <c r="AG63" s="33"/>
      <c r="AH63" s="33"/>
      <c r="AI63" s="33"/>
      <c r="AJ63" s="33"/>
      <c r="AK63" s="34"/>
      <c r="AL63" s="36"/>
    </row>
    <row r="64" spans="2:38">
      <c r="B64" s="17"/>
      <c r="C64" s="18"/>
      <c r="D64" s="19"/>
      <c r="E64" s="22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33"/>
      <c r="AG64" s="33"/>
      <c r="AH64" s="33"/>
      <c r="AI64" s="33"/>
      <c r="AJ64" s="33"/>
      <c r="AK64" s="34"/>
      <c r="AL64" s="36"/>
    </row>
    <row r="65" spans="2:38">
      <c r="B65" s="17"/>
      <c r="C65" s="18"/>
      <c r="D65" s="19"/>
      <c r="E65" s="18"/>
      <c r="F65" s="18"/>
      <c r="G65" s="24"/>
      <c r="H65" s="24"/>
      <c r="I65" s="24"/>
      <c r="J65" s="24"/>
      <c r="K65" s="24"/>
      <c r="L65" s="24"/>
      <c r="M65" s="24"/>
      <c r="N65" s="24"/>
      <c r="O65" s="24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4"/>
      <c r="AC65" s="24"/>
      <c r="AD65" s="24"/>
      <c r="AE65" s="24"/>
      <c r="AF65" s="33"/>
      <c r="AG65" s="33"/>
      <c r="AH65" s="33"/>
      <c r="AI65" s="33"/>
      <c r="AJ65" s="33"/>
      <c r="AK65" s="34"/>
      <c r="AL65" s="36"/>
    </row>
    <row r="66" spans="2:38">
      <c r="B66" s="17"/>
      <c r="C66" s="18"/>
      <c r="D66" s="19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1"/>
      <c r="Q66" s="21"/>
      <c r="R66" s="21"/>
      <c r="S66" s="21"/>
      <c r="T66" s="21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33"/>
      <c r="AG66" s="33"/>
      <c r="AH66" s="33"/>
      <c r="AI66" s="33"/>
      <c r="AJ66" s="33"/>
      <c r="AK66" s="34"/>
      <c r="AL66" s="36"/>
    </row>
    <row r="67" spans="2:38">
      <c r="B67" s="17"/>
      <c r="C67" s="37"/>
      <c r="D67" s="38"/>
      <c r="E67" s="22"/>
      <c r="F67" s="18"/>
      <c r="G67" s="24"/>
      <c r="H67" s="24"/>
      <c r="I67" s="24"/>
      <c r="J67" s="24"/>
      <c r="K67" s="24"/>
      <c r="L67" s="24"/>
      <c r="M67" s="24"/>
      <c r="N67" s="24"/>
      <c r="O67" s="24"/>
      <c r="P67" s="21"/>
      <c r="Q67" s="21"/>
      <c r="R67" s="21"/>
      <c r="S67" s="21"/>
      <c r="T67" s="21"/>
      <c r="U67" s="21"/>
      <c r="V67" s="21"/>
      <c r="W67" s="21"/>
      <c r="X67" s="24"/>
      <c r="Y67" s="24"/>
      <c r="Z67" s="24"/>
      <c r="AA67" s="24"/>
      <c r="AB67" s="24"/>
      <c r="AC67" s="24"/>
      <c r="AD67" s="24"/>
      <c r="AE67" s="24"/>
      <c r="AF67" s="33"/>
      <c r="AG67" s="33"/>
      <c r="AH67" s="33"/>
      <c r="AI67" s="33"/>
      <c r="AJ67" s="33"/>
      <c r="AK67" s="34"/>
      <c r="AL67" s="36"/>
    </row>
    <row r="68" spans="2:38">
      <c r="B68" s="17"/>
      <c r="C68" s="18"/>
      <c r="D68" s="19"/>
      <c r="E68" s="21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33"/>
      <c r="AG68" s="33"/>
      <c r="AH68" s="33"/>
      <c r="AI68" s="33"/>
      <c r="AJ68" s="33"/>
      <c r="AK68" s="34"/>
      <c r="AL68" s="36"/>
    </row>
    <row r="69" spans="2:38">
      <c r="B69" s="39"/>
      <c r="C69" s="18"/>
      <c r="D69" s="19"/>
      <c r="E69" s="22"/>
      <c r="F69" s="18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4"/>
      <c r="AF69" s="33"/>
      <c r="AG69" s="33"/>
      <c r="AH69" s="33"/>
      <c r="AI69" s="33"/>
      <c r="AJ69" s="33"/>
      <c r="AK69" s="34"/>
      <c r="AL69" s="36"/>
    </row>
    <row r="70" spans="2:38">
      <c r="B70" s="39"/>
      <c r="C70" s="18"/>
      <c r="D70" s="19"/>
      <c r="E70" s="22"/>
      <c r="F70" s="18"/>
      <c r="G70" s="21"/>
      <c r="H70" s="21"/>
      <c r="I70" s="21"/>
      <c r="J70" s="21"/>
      <c r="K70" s="21"/>
      <c r="L70" s="21"/>
      <c r="M70" s="21"/>
      <c r="N70" s="21"/>
      <c r="O70" s="21"/>
      <c r="P70" s="31"/>
      <c r="Q70" s="31"/>
      <c r="R70" s="31"/>
      <c r="S70" s="31"/>
      <c r="T70" s="25"/>
      <c r="U70" s="21"/>
      <c r="V70" s="21"/>
      <c r="W70" s="21"/>
      <c r="X70" s="21"/>
      <c r="Y70" s="21"/>
      <c r="Z70" s="21"/>
      <c r="AA70" s="21"/>
      <c r="AB70" s="24"/>
      <c r="AC70" s="24"/>
      <c r="AD70" s="24"/>
      <c r="AE70" s="24"/>
      <c r="AF70" s="33"/>
      <c r="AG70" s="33"/>
      <c r="AH70" s="33"/>
      <c r="AI70" s="33"/>
      <c r="AJ70" s="33"/>
      <c r="AK70" s="34"/>
      <c r="AL70" s="36"/>
    </row>
    <row r="71" spans="2:38" ht="16" thickBot="1">
      <c r="B71" s="40"/>
      <c r="C71" s="41" t="s">
        <v>11</v>
      </c>
      <c r="D71" s="42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7"/>
      <c r="AG71" s="57"/>
      <c r="AH71" s="57"/>
      <c r="AI71" s="57"/>
      <c r="AJ71" s="57">
        <f>SUM(AJ6:AJ23)</f>
        <v>5733000</v>
      </c>
      <c r="AK71" s="58"/>
      <c r="AL71" s="62">
        <f>SUM(AL6:AL70)</f>
        <v>452120.30677655677</v>
      </c>
    </row>
    <row r="72" spans="2:38">
      <c r="B72" s="44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33"/>
      <c r="AK72" s="34"/>
      <c r="AL72" s="63"/>
    </row>
    <row r="73" spans="2:38" s="1" customFormat="1" ht="15" thickBot="1">
      <c r="B73" s="46"/>
      <c r="C73" s="2" t="s">
        <v>33</v>
      </c>
      <c r="D73" s="15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59"/>
      <c r="AK73" s="60"/>
      <c r="AL73" s="64"/>
    </row>
    <row r="74" spans="2:38" s="5" customFormat="1">
      <c r="B74" s="80" t="s">
        <v>3</v>
      </c>
      <c r="C74" s="82" t="s">
        <v>4</v>
      </c>
      <c r="D74" s="84"/>
      <c r="E74" s="16" t="s">
        <v>6</v>
      </c>
      <c r="F74" s="16" t="s">
        <v>6</v>
      </c>
      <c r="G74" s="16" t="s">
        <v>7</v>
      </c>
      <c r="H74" s="16" t="s">
        <v>6</v>
      </c>
      <c r="I74" s="16" t="s">
        <v>6</v>
      </c>
      <c r="J74" s="16" t="s">
        <v>6</v>
      </c>
      <c r="K74" s="16" t="s">
        <v>6</v>
      </c>
      <c r="L74" s="16" t="s">
        <v>6</v>
      </c>
      <c r="M74" s="16" t="s">
        <v>6</v>
      </c>
      <c r="N74" s="16" t="s">
        <v>6</v>
      </c>
      <c r="O74" s="16" t="s">
        <v>6</v>
      </c>
      <c r="P74" s="16" t="s">
        <v>6</v>
      </c>
      <c r="Q74" s="16" t="s">
        <v>6</v>
      </c>
      <c r="R74" s="16" t="s">
        <v>6</v>
      </c>
      <c r="S74" s="16" t="s">
        <v>6</v>
      </c>
      <c r="T74" s="16" t="s">
        <v>6</v>
      </c>
      <c r="U74" s="16" t="s">
        <v>6</v>
      </c>
      <c r="V74" s="16" t="s">
        <v>6</v>
      </c>
      <c r="W74" s="16" t="s">
        <v>6</v>
      </c>
      <c r="X74" s="16" t="s">
        <v>6</v>
      </c>
      <c r="Y74" s="16" t="s">
        <v>6</v>
      </c>
      <c r="Z74" s="16" t="s">
        <v>6</v>
      </c>
      <c r="AA74" s="16" t="s">
        <v>6</v>
      </c>
      <c r="AB74" s="16" t="s">
        <v>6</v>
      </c>
      <c r="AC74" s="16" t="s">
        <v>6</v>
      </c>
      <c r="AD74" s="16" t="s">
        <v>6</v>
      </c>
      <c r="AE74" s="16" t="s">
        <v>6</v>
      </c>
      <c r="AF74" s="16" t="s">
        <v>6</v>
      </c>
      <c r="AG74" s="16" t="s">
        <v>6</v>
      </c>
      <c r="AH74" s="16" t="s">
        <v>6</v>
      </c>
      <c r="AI74" s="16" t="s">
        <v>6</v>
      </c>
      <c r="AJ74" s="70" t="s">
        <v>8</v>
      </c>
      <c r="AK74" s="70" t="s">
        <v>9</v>
      </c>
      <c r="AL74" s="71" t="s">
        <v>10</v>
      </c>
    </row>
    <row r="75" spans="2:38" s="5" customFormat="1" ht="15" thickBot="1">
      <c r="B75" s="81"/>
      <c r="C75" s="83"/>
      <c r="D75" s="85"/>
      <c r="E75" s="16">
        <v>1</v>
      </c>
      <c r="F75" s="16">
        <v>2</v>
      </c>
      <c r="G75" s="16">
        <v>3</v>
      </c>
      <c r="H75" s="16">
        <v>4</v>
      </c>
      <c r="I75" s="16">
        <v>5</v>
      </c>
      <c r="J75" s="16">
        <v>6</v>
      </c>
      <c r="K75" s="16">
        <v>7</v>
      </c>
      <c r="L75" s="16">
        <v>8</v>
      </c>
      <c r="M75" s="16">
        <v>9</v>
      </c>
      <c r="N75" s="16">
        <v>10</v>
      </c>
      <c r="O75" s="16">
        <v>11</v>
      </c>
      <c r="P75" s="16">
        <v>12</v>
      </c>
      <c r="Q75" s="16">
        <v>13</v>
      </c>
      <c r="R75" s="16">
        <v>14</v>
      </c>
      <c r="S75" s="16">
        <v>15</v>
      </c>
      <c r="T75" s="16">
        <v>16</v>
      </c>
      <c r="U75" s="16">
        <v>17</v>
      </c>
      <c r="V75" s="16">
        <v>18</v>
      </c>
      <c r="W75" s="16">
        <v>19</v>
      </c>
      <c r="X75" s="16">
        <v>20</v>
      </c>
      <c r="Y75" s="16">
        <v>21</v>
      </c>
      <c r="Z75" s="16">
        <v>22</v>
      </c>
      <c r="AA75" s="16">
        <v>23</v>
      </c>
      <c r="AB75" s="16">
        <v>24</v>
      </c>
      <c r="AC75" s="16">
        <v>25</v>
      </c>
      <c r="AD75" s="16">
        <v>26</v>
      </c>
      <c r="AE75" s="16">
        <v>27</v>
      </c>
      <c r="AF75" s="16">
        <v>28</v>
      </c>
      <c r="AG75" s="16">
        <v>29</v>
      </c>
      <c r="AH75" s="16">
        <v>30</v>
      </c>
      <c r="AI75" s="16">
        <v>31</v>
      </c>
      <c r="AJ75" s="70"/>
      <c r="AK75" s="70"/>
      <c r="AL75" s="71"/>
    </row>
    <row r="76" spans="2:38">
      <c r="B76" s="17">
        <v>1</v>
      </c>
      <c r="C76" s="18" t="s">
        <v>34</v>
      </c>
      <c r="D76" s="19" t="s">
        <v>36</v>
      </c>
      <c r="E76" s="22">
        <v>562210</v>
      </c>
      <c r="F76" s="24"/>
      <c r="G76" s="24">
        <v>30000</v>
      </c>
      <c r="H76" s="24">
        <v>20000</v>
      </c>
      <c r="I76" s="24">
        <v>145000</v>
      </c>
      <c r="J76" s="24">
        <v>10000</v>
      </c>
      <c r="K76" s="24">
        <v>10000</v>
      </c>
      <c r="L76" s="24">
        <v>77500</v>
      </c>
      <c r="M76" s="24">
        <v>195000</v>
      </c>
      <c r="N76" s="24">
        <v>324000</v>
      </c>
      <c r="O76" s="24">
        <v>10000</v>
      </c>
      <c r="P76" s="24">
        <v>54000</v>
      </c>
      <c r="Q76" s="24">
        <v>155000</v>
      </c>
      <c r="R76" s="24">
        <v>10000</v>
      </c>
      <c r="S76" s="24">
        <v>48000</v>
      </c>
      <c r="T76" s="24"/>
      <c r="U76" s="24"/>
      <c r="V76" s="24">
        <v>135000</v>
      </c>
      <c r="W76" s="24">
        <v>145000</v>
      </c>
      <c r="X76" s="24"/>
      <c r="Y76" s="24">
        <v>108000</v>
      </c>
      <c r="Z76" s="24">
        <v>20000</v>
      </c>
      <c r="AA76" s="24"/>
      <c r="AB76" s="24">
        <v>185000</v>
      </c>
      <c r="AC76" s="24">
        <v>212330</v>
      </c>
      <c r="AD76" s="24">
        <v>28000</v>
      </c>
      <c r="AE76" s="24">
        <v>10000</v>
      </c>
      <c r="AF76" s="33">
        <v>200000</v>
      </c>
      <c r="AG76" s="33"/>
      <c r="AH76" s="33">
        <v>103000</v>
      </c>
      <c r="AI76" s="33"/>
      <c r="AJ76" s="33">
        <f>SUM(E76:AF76)</f>
        <v>2694040</v>
      </c>
      <c r="AK76" s="34">
        <f t="shared" ref="AK76:AK77" si="3">COUNTA(E76,F76,G76,H76,L76,O76,T76,U76,V76,X76,AB76,AE76)</f>
        <v>8</v>
      </c>
      <c r="AL76" s="36">
        <f t="shared" ref="AL76:AL77" si="4">+AJ76/AK76</f>
        <v>336755</v>
      </c>
    </row>
    <row r="77" spans="2:38">
      <c r="B77" s="17">
        <v>2</v>
      </c>
      <c r="C77" s="18" t="s">
        <v>35</v>
      </c>
      <c r="D77" s="19" t="s">
        <v>36</v>
      </c>
      <c r="E77" s="24"/>
      <c r="F77" s="24">
        <v>103000</v>
      </c>
      <c r="G77" s="24">
        <v>35000</v>
      </c>
      <c r="H77" s="24"/>
      <c r="I77" s="24">
        <v>103000</v>
      </c>
      <c r="J77" s="24"/>
      <c r="K77" s="24"/>
      <c r="L77" s="24"/>
      <c r="M77" s="24">
        <v>103000</v>
      </c>
      <c r="N77" s="24">
        <v>103000</v>
      </c>
      <c r="O77" s="24"/>
      <c r="P77" s="24">
        <v>103000</v>
      </c>
      <c r="Q77" s="24"/>
      <c r="R77" s="24"/>
      <c r="S77" s="24">
        <v>103000</v>
      </c>
      <c r="T77" s="24"/>
      <c r="U77" s="24"/>
      <c r="V77" s="24"/>
      <c r="W77" s="24">
        <v>103000</v>
      </c>
      <c r="X77" s="24">
        <v>352650</v>
      </c>
      <c r="Y77" s="24">
        <v>156000</v>
      </c>
      <c r="Z77" s="24"/>
      <c r="AA77" s="24"/>
      <c r="AB77" s="24">
        <v>126000</v>
      </c>
      <c r="AC77" s="24"/>
      <c r="AD77" s="24"/>
      <c r="AE77" s="24">
        <v>53000</v>
      </c>
      <c r="AF77" s="33">
        <v>103000</v>
      </c>
      <c r="AG77" s="33"/>
      <c r="AH77" s="33">
        <v>384000</v>
      </c>
      <c r="AI77" s="33"/>
      <c r="AJ77" s="33">
        <f t="shared" ref="AJ77" si="5">SUM(E77:AE77)</f>
        <v>1443650</v>
      </c>
      <c r="AK77" s="34">
        <f t="shared" si="3"/>
        <v>5</v>
      </c>
      <c r="AL77" s="36">
        <f t="shared" si="4"/>
        <v>288730</v>
      </c>
    </row>
    <row r="78" spans="2:38">
      <c r="B78" s="17"/>
      <c r="C78" s="18"/>
      <c r="D78" s="19"/>
      <c r="E78" s="22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33"/>
      <c r="AG78" s="33"/>
      <c r="AH78" s="33"/>
      <c r="AI78" s="33"/>
      <c r="AJ78" s="33"/>
      <c r="AK78" s="34"/>
      <c r="AL78" s="36"/>
    </row>
    <row r="79" spans="2:38">
      <c r="B79" s="17"/>
      <c r="C79" s="18"/>
      <c r="D79" s="19"/>
      <c r="E79" s="22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33"/>
      <c r="AG79" s="33"/>
      <c r="AH79" s="33"/>
      <c r="AI79" s="33"/>
      <c r="AJ79" s="33"/>
      <c r="AK79" s="34"/>
      <c r="AL79" s="36"/>
    </row>
    <row r="80" spans="2:38">
      <c r="B80" s="17"/>
      <c r="C80" s="18"/>
      <c r="D80" s="19"/>
      <c r="E80" s="22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33"/>
      <c r="AG80" s="33"/>
      <c r="AH80" s="33"/>
      <c r="AI80" s="33"/>
      <c r="AJ80" s="33"/>
      <c r="AK80" s="34"/>
      <c r="AL80" s="36"/>
    </row>
    <row r="81" spans="1:38">
      <c r="B81" s="17"/>
      <c r="C81" s="18"/>
      <c r="D81" s="19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33"/>
      <c r="AG81" s="33"/>
      <c r="AH81" s="33"/>
      <c r="AI81" s="33"/>
      <c r="AJ81" s="33"/>
      <c r="AK81" s="34"/>
      <c r="AL81" s="36"/>
    </row>
    <row r="82" spans="1:38">
      <c r="B82" s="17"/>
      <c r="C82" s="18"/>
      <c r="D82" s="19"/>
      <c r="E82" s="22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33"/>
      <c r="AG82" s="33"/>
      <c r="AH82" s="33"/>
      <c r="AI82" s="33"/>
      <c r="AJ82" s="33"/>
      <c r="AK82" s="34"/>
      <c r="AL82" s="36"/>
    </row>
    <row r="83" spans="1:38" ht="15" thickBot="1">
      <c r="B83" s="17"/>
      <c r="C83" s="18"/>
      <c r="D83" s="19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33"/>
      <c r="AG83" s="33"/>
      <c r="AH83" s="33"/>
      <c r="AI83" s="33"/>
      <c r="AJ83" s="33"/>
      <c r="AK83" s="34"/>
      <c r="AL83" s="36"/>
    </row>
    <row r="84" spans="1:38" ht="16" thickBot="1">
      <c r="B84" s="48"/>
      <c r="C84" s="49" t="s">
        <v>11</v>
      </c>
      <c r="D84" s="50"/>
      <c r="E84" s="51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6"/>
      <c r="AC84" s="56"/>
      <c r="AD84" s="56"/>
      <c r="AE84" s="56"/>
      <c r="AF84" s="68"/>
      <c r="AG84" s="68"/>
      <c r="AH84" s="68"/>
      <c r="AI84" s="68"/>
      <c r="AJ84" s="86">
        <f>SUM(AJ76:AJ83)</f>
        <v>4137690</v>
      </c>
      <c r="AK84" s="61"/>
      <c r="AL84" s="65">
        <f>SUM(AL76:AL83)</f>
        <v>625485</v>
      </c>
    </row>
    <row r="85" spans="1:38" s="5" customFormat="1">
      <c r="A85" s="53"/>
      <c r="B85" s="53"/>
      <c r="C85" s="53"/>
      <c r="D85" s="54"/>
      <c r="E85" s="7"/>
      <c r="F85"/>
      <c r="G85" s="6"/>
      <c r="H85"/>
      <c r="I85"/>
      <c r="J85"/>
      <c r="K85"/>
      <c r="L85"/>
      <c r="M85"/>
      <c r="N85"/>
      <c r="O85"/>
      <c r="P85"/>
      <c r="Q85"/>
      <c r="R85"/>
      <c r="S85"/>
      <c r="T8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</row>
    <row r="86" spans="1:38">
      <c r="F86"/>
      <c r="G86" s="6"/>
      <c r="H86"/>
      <c r="I86"/>
      <c r="J86"/>
      <c r="K86"/>
      <c r="L86"/>
      <c r="M86"/>
      <c r="N86"/>
      <c r="O86"/>
      <c r="P86"/>
      <c r="Q86"/>
      <c r="R86"/>
      <c r="S86"/>
      <c r="T86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L86"/>
    </row>
    <row r="87" spans="1:38">
      <c r="F87"/>
      <c r="G87" s="6"/>
      <c r="H87"/>
      <c r="I87"/>
      <c r="J87"/>
      <c r="K87"/>
      <c r="L87"/>
      <c r="M87"/>
      <c r="N87"/>
      <c r="O87"/>
      <c r="P87"/>
      <c r="Q87"/>
      <c r="R87"/>
      <c r="S87"/>
      <c r="T87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L87"/>
    </row>
    <row r="88" spans="1:38">
      <c r="F88"/>
      <c r="G88" s="6"/>
      <c r="H88"/>
      <c r="I88"/>
      <c r="J88"/>
      <c r="K88"/>
      <c r="L88"/>
      <c r="M88"/>
      <c r="N88"/>
      <c r="O88"/>
      <c r="P88"/>
      <c r="Q88"/>
      <c r="R88"/>
      <c r="S88"/>
      <c r="T88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L88"/>
    </row>
    <row r="89" spans="1:38">
      <c r="F89"/>
      <c r="G89" s="6"/>
      <c r="H89"/>
      <c r="I89"/>
      <c r="J89"/>
      <c r="K89"/>
      <c r="L89"/>
      <c r="M89"/>
      <c r="N89"/>
      <c r="O89"/>
      <c r="P89"/>
      <c r="Q89"/>
      <c r="R89"/>
      <c r="S89"/>
      <c r="T89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L89"/>
    </row>
    <row r="90" spans="1:38">
      <c r="F90"/>
      <c r="G90" s="6"/>
      <c r="H90"/>
      <c r="I90"/>
      <c r="J90"/>
      <c r="K90"/>
      <c r="L90"/>
      <c r="M90"/>
      <c r="N90"/>
      <c r="O90"/>
      <c r="P90"/>
      <c r="Q90"/>
      <c r="R90"/>
      <c r="S90"/>
      <c r="T90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L90"/>
    </row>
    <row r="91" spans="1:38">
      <c r="F91"/>
      <c r="G91" s="6"/>
      <c r="H91"/>
      <c r="I91"/>
      <c r="J91"/>
      <c r="K91"/>
      <c r="L91"/>
      <c r="M91"/>
      <c r="N91"/>
      <c r="O91"/>
      <c r="P91"/>
      <c r="Q91"/>
      <c r="R91"/>
      <c r="S91"/>
      <c r="T91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L91"/>
    </row>
    <row r="92" spans="1:38">
      <c r="F92"/>
      <c r="G92" s="6"/>
      <c r="H92"/>
      <c r="I92"/>
      <c r="J92"/>
      <c r="K92"/>
      <c r="L92"/>
      <c r="M92"/>
      <c r="N92"/>
      <c r="O92"/>
      <c r="P92"/>
      <c r="Q92"/>
      <c r="R92"/>
      <c r="S92"/>
      <c r="T92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L92"/>
    </row>
    <row r="93" spans="1:38">
      <c r="F93"/>
      <c r="G93" s="6"/>
      <c r="H93"/>
      <c r="I93"/>
      <c r="J93"/>
      <c r="K93"/>
      <c r="L93"/>
      <c r="M93"/>
      <c r="N93"/>
      <c r="O93"/>
      <c r="P93"/>
      <c r="Q93"/>
      <c r="R93"/>
      <c r="S93"/>
      <c r="T93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L93"/>
    </row>
    <row r="94" spans="1:38">
      <c r="F94"/>
      <c r="G94" s="6"/>
      <c r="H94"/>
      <c r="I94"/>
      <c r="J94"/>
      <c r="K94"/>
      <c r="L94"/>
      <c r="M94"/>
      <c r="N94"/>
      <c r="O94"/>
      <c r="P94"/>
      <c r="Q94"/>
      <c r="R94"/>
      <c r="S94"/>
      <c r="T94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L94"/>
    </row>
    <row r="95" spans="1:38">
      <c r="F95"/>
      <c r="G95" s="6"/>
      <c r="H95"/>
      <c r="I95"/>
      <c r="J95"/>
      <c r="K95"/>
      <c r="L95"/>
      <c r="M95"/>
      <c r="N95"/>
      <c r="O95"/>
      <c r="P95"/>
      <c r="Q95"/>
      <c r="R95"/>
      <c r="S95"/>
      <c r="T9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L95"/>
    </row>
    <row r="96" spans="1:38">
      <c r="F96"/>
      <c r="G96" s="6"/>
      <c r="H96"/>
      <c r="I96"/>
      <c r="J96"/>
      <c r="K96"/>
      <c r="L96"/>
      <c r="M96"/>
      <c r="N96"/>
      <c r="O96"/>
      <c r="P96"/>
      <c r="Q96"/>
      <c r="R96"/>
      <c r="S96"/>
      <c r="T96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L96"/>
    </row>
    <row r="97" spans="6:38">
      <c r="F97"/>
      <c r="G97" s="6"/>
      <c r="H97"/>
      <c r="I97"/>
      <c r="J97"/>
      <c r="K97"/>
      <c r="L97"/>
      <c r="M97"/>
      <c r="N97"/>
      <c r="O97"/>
      <c r="P97"/>
      <c r="Q97"/>
      <c r="R97"/>
      <c r="S97"/>
      <c r="T97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L97"/>
    </row>
    <row r="98" spans="6:38">
      <c r="F98"/>
      <c r="G98" s="6"/>
      <c r="H98"/>
      <c r="I98"/>
      <c r="J98"/>
      <c r="K98"/>
      <c r="L98"/>
      <c r="M98"/>
      <c r="N98"/>
      <c r="O98"/>
      <c r="P98"/>
      <c r="Q98"/>
      <c r="R98"/>
      <c r="S98"/>
      <c r="T98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L98"/>
    </row>
    <row r="99" spans="6:38">
      <c r="F99"/>
      <c r="G99" s="6"/>
      <c r="H99"/>
      <c r="I99"/>
      <c r="J99"/>
      <c r="K99"/>
      <c r="L99"/>
      <c r="M99"/>
      <c r="N99"/>
      <c r="O99"/>
      <c r="P99"/>
      <c r="Q99"/>
      <c r="R99"/>
      <c r="S99"/>
      <c r="T99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L99"/>
    </row>
    <row r="100" spans="6:38">
      <c r="F100"/>
      <c r="G100" s="6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L100"/>
    </row>
    <row r="101" spans="6:38">
      <c r="F101"/>
      <c r="G101" s="6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L101"/>
    </row>
    <row r="102" spans="6:38">
      <c r="F102"/>
      <c r="G102" s="6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L102"/>
    </row>
    <row r="103" spans="6:38">
      <c r="F103"/>
      <c r="G103" s="6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L103"/>
    </row>
    <row r="104" spans="6:38">
      <c r="F104"/>
      <c r="G104" s="6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L104"/>
    </row>
    <row r="105" spans="6:38">
      <c r="F105"/>
      <c r="G105" s="6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L105"/>
    </row>
    <row r="106" spans="6:38">
      <c r="F106"/>
      <c r="G106" s="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L106"/>
    </row>
    <row r="107" spans="6:38">
      <c r="F107"/>
      <c r="G107" s="6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L107"/>
    </row>
    <row r="108" spans="6:38">
      <c r="F108"/>
      <c r="G108" s="6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L108"/>
    </row>
    <row r="109" spans="6:38">
      <c r="F109"/>
      <c r="G109" s="6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L109"/>
    </row>
    <row r="110" spans="6:38">
      <c r="F110"/>
      <c r="G110" s="6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L110"/>
    </row>
    <row r="111" spans="6:38">
      <c r="F111"/>
      <c r="G111" s="6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L111"/>
    </row>
    <row r="112" spans="6:38">
      <c r="F112"/>
      <c r="G112" s="6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L112"/>
    </row>
    <row r="113" spans="6:38">
      <c r="F113"/>
      <c r="G113" s="6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L113"/>
    </row>
    <row r="114" spans="6:38">
      <c r="F114"/>
      <c r="G114" s="6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L114"/>
    </row>
    <row r="115" spans="6:38">
      <c r="F115"/>
      <c r="G115" s="6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L115"/>
    </row>
    <row r="116" spans="6:38">
      <c r="F116"/>
      <c r="G116" s="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L116"/>
    </row>
    <row r="117" spans="6:38">
      <c r="F117"/>
      <c r="G117" s="6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L117"/>
    </row>
    <row r="118" spans="6:38">
      <c r="F118"/>
      <c r="G118" s="6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L118"/>
    </row>
    <row r="119" spans="6:38">
      <c r="F119"/>
      <c r="G119" s="6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L119"/>
    </row>
    <row r="120" spans="6:38">
      <c r="F120"/>
      <c r="G120" s="6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L120"/>
    </row>
    <row r="121" spans="6:38">
      <c r="F121"/>
      <c r="G121" s="6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L121"/>
    </row>
    <row r="122" spans="6:38">
      <c r="F122"/>
      <c r="G122" s="6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L122"/>
    </row>
    <row r="123" spans="6:38">
      <c r="F123"/>
      <c r="G123" s="6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L123"/>
    </row>
    <row r="124" spans="6:38">
      <c r="F124"/>
      <c r="G124" s="6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L124"/>
    </row>
    <row r="125" spans="6:38">
      <c r="F125"/>
      <c r="G125" s="6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L125"/>
    </row>
    <row r="126" spans="6:38">
      <c r="F126"/>
      <c r="G126" s="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L126"/>
    </row>
    <row r="127" spans="6:38">
      <c r="F127"/>
      <c r="G127" s="6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L127"/>
    </row>
    <row r="128" spans="6:38">
      <c r="F128"/>
      <c r="G128" s="6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L128"/>
    </row>
    <row r="129" spans="6:38">
      <c r="F129"/>
      <c r="G129" s="6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L129"/>
    </row>
    <row r="130" spans="6:38">
      <c r="F130"/>
      <c r="G130" s="6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L130"/>
    </row>
    <row r="131" spans="6:38">
      <c r="F131"/>
      <c r="G131" s="6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L131"/>
    </row>
    <row r="132" spans="6:38">
      <c r="F132"/>
      <c r="G132" s="6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L132"/>
    </row>
    <row r="133" spans="6:38">
      <c r="F133"/>
      <c r="G133" s="6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L133"/>
    </row>
    <row r="134" spans="6:38">
      <c r="F134"/>
      <c r="G134" s="6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L134"/>
    </row>
    <row r="135" spans="6:38">
      <c r="F135"/>
      <c r="G135" s="6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L135"/>
    </row>
    <row r="136" spans="6:38">
      <c r="F136"/>
      <c r="G136" s="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L136"/>
    </row>
    <row r="137" spans="6:38">
      <c r="F137"/>
      <c r="G137" s="6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L137"/>
    </row>
    <row r="138" spans="6:38">
      <c r="F138"/>
      <c r="G138" s="6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L138"/>
    </row>
    <row r="139" spans="6:38">
      <c r="F139"/>
      <c r="G139" s="6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L139"/>
    </row>
    <row r="140" spans="6:38">
      <c r="F140"/>
      <c r="G140" s="6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L140"/>
    </row>
    <row r="141" spans="6:38">
      <c r="F141"/>
      <c r="G141" s="6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L141"/>
    </row>
    <row r="142" spans="6:38">
      <c r="F142"/>
      <c r="G142" s="6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L142"/>
    </row>
    <row r="143" spans="6:38">
      <c r="F143"/>
      <c r="G143" s="6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L143"/>
    </row>
    <row r="144" spans="6:38">
      <c r="F144"/>
      <c r="G144" s="6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L144"/>
    </row>
    <row r="145" spans="6:38">
      <c r="F145"/>
      <c r="G145" s="6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L145"/>
    </row>
    <row r="146" spans="6:38">
      <c r="F146"/>
      <c r="G146" s="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L146"/>
    </row>
    <row r="147" spans="6:38">
      <c r="F147"/>
      <c r="G147" s="6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L147"/>
    </row>
    <row r="148" spans="6:38">
      <c r="F148"/>
      <c r="G148" s="6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L148"/>
    </row>
    <row r="149" spans="6:38">
      <c r="F149"/>
      <c r="G149" s="6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L149"/>
    </row>
    <row r="150" spans="6:38">
      <c r="F150"/>
      <c r="G150" s="6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L150"/>
    </row>
    <row r="151" spans="6:38">
      <c r="F151"/>
      <c r="G151" s="6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L151"/>
    </row>
    <row r="152" spans="6:38">
      <c r="F152"/>
      <c r="G152" s="6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L152"/>
    </row>
    <row r="153" spans="6:38">
      <c r="F153"/>
      <c r="G153" s="6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L153"/>
    </row>
    <row r="154" spans="6:38">
      <c r="F154"/>
      <c r="G154" s="6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L154"/>
    </row>
    <row r="155" spans="6:38">
      <c r="F155"/>
      <c r="G155" s="6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L155"/>
    </row>
    <row r="156" spans="6:38">
      <c r="F156"/>
      <c r="G156" s="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L156"/>
    </row>
    <row r="157" spans="6:38">
      <c r="F157"/>
      <c r="G157" s="6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L157"/>
    </row>
    <row r="158" spans="6:38">
      <c r="F158"/>
      <c r="G158" s="6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L158"/>
    </row>
    <row r="159" spans="6:38">
      <c r="F159"/>
      <c r="G159" s="6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L159"/>
    </row>
    <row r="160" spans="6:38">
      <c r="F160"/>
      <c r="G160" s="6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L160"/>
    </row>
    <row r="161" spans="6:38">
      <c r="F161"/>
      <c r="G161" s="6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L161"/>
    </row>
    <row r="162" spans="6:38">
      <c r="F162"/>
      <c r="G162" s="6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L162"/>
    </row>
    <row r="163" spans="6:38">
      <c r="F163"/>
      <c r="G163" s="6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L163"/>
    </row>
    <row r="164" spans="6:38">
      <c r="F164"/>
      <c r="G164" s="6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L164"/>
    </row>
    <row r="165" spans="6:38">
      <c r="F165"/>
      <c r="G165" s="6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L165"/>
    </row>
    <row r="166" spans="6:38">
      <c r="F166"/>
      <c r="G166" s="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L166"/>
    </row>
    <row r="167" spans="6:38">
      <c r="F167"/>
      <c r="G167" s="6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L167"/>
    </row>
    <row r="168" spans="6:38">
      <c r="F168"/>
      <c r="G168" s="6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L168"/>
    </row>
    <row r="169" spans="6:38">
      <c r="F169"/>
      <c r="G169" s="6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L169"/>
    </row>
    <row r="170" spans="6:38">
      <c r="F170"/>
      <c r="G170" s="6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L170"/>
    </row>
    <row r="171" spans="6:38">
      <c r="F171"/>
      <c r="G171" s="6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L171"/>
    </row>
    <row r="172" spans="6:38">
      <c r="F172"/>
      <c r="G172" s="6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L172"/>
    </row>
    <row r="173" spans="6:38">
      <c r="F173"/>
      <c r="G173" s="6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L173"/>
    </row>
    <row r="174" spans="6:38">
      <c r="F174"/>
      <c r="G174" s="6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L174"/>
    </row>
    <row r="175" spans="6:38">
      <c r="F175"/>
      <c r="G175" s="6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L175"/>
    </row>
    <row r="176" spans="6:38">
      <c r="F176"/>
      <c r="G176" s="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 s="24"/>
      <c r="AC176" s="24"/>
      <c r="AD176" s="24"/>
      <c r="AE176" s="24"/>
      <c r="AF176" s="69"/>
      <c r="AG176" s="69"/>
      <c r="AH176" s="69"/>
      <c r="AI176" s="69"/>
      <c r="AJ176" s="53"/>
    </row>
    <row r="177" spans="6:36">
      <c r="F177"/>
      <c r="G177" s="6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 s="24"/>
      <c r="AC177" s="24"/>
      <c r="AD177" s="24"/>
      <c r="AE177" s="24"/>
      <c r="AF177" s="69"/>
      <c r="AG177" s="69"/>
      <c r="AH177" s="69"/>
      <c r="AI177" s="69"/>
      <c r="AJ177" s="53"/>
    </row>
    <row r="178" spans="6:36">
      <c r="F178"/>
      <c r="G178" s="6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 s="24"/>
      <c r="AC178" s="24"/>
      <c r="AD178" s="24"/>
      <c r="AE178" s="24"/>
      <c r="AF178" s="69"/>
      <c r="AG178" s="69"/>
      <c r="AH178" s="69"/>
      <c r="AI178" s="69"/>
      <c r="AJ178" s="53"/>
    </row>
    <row r="179" spans="6:36">
      <c r="F179"/>
      <c r="G179" s="6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 s="24"/>
      <c r="AC179" s="24"/>
      <c r="AD179" s="24"/>
      <c r="AE179" s="24"/>
      <c r="AF179" s="69"/>
      <c r="AG179" s="69"/>
      <c r="AH179" s="69"/>
      <c r="AI179" s="69"/>
      <c r="AJ179" s="53"/>
    </row>
    <row r="180" spans="6:36">
      <c r="F180"/>
      <c r="G180" s="6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 s="24"/>
      <c r="AC180" s="24"/>
      <c r="AD180" s="24"/>
      <c r="AE180" s="24"/>
      <c r="AF180" s="69"/>
      <c r="AG180" s="69"/>
      <c r="AH180" s="69"/>
      <c r="AI180" s="69"/>
      <c r="AJ180" s="53"/>
    </row>
    <row r="181" spans="6:36">
      <c r="F181"/>
      <c r="G181" s="6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 s="24"/>
      <c r="AC181" s="24"/>
      <c r="AD181" s="24"/>
      <c r="AE181" s="24"/>
      <c r="AF181" s="69"/>
      <c r="AG181" s="69"/>
      <c r="AH181" s="69"/>
      <c r="AI181" s="69"/>
      <c r="AJ181" s="53"/>
    </row>
    <row r="182" spans="6:36">
      <c r="F182"/>
      <c r="G182" s="6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 s="24"/>
      <c r="AC182" s="24"/>
      <c r="AD182" s="24"/>
      <c r="AE182" s="24"/>
      <c r="AF182" s="69"/>
      <c r="AG182" s="69"/>
      <c r="AH182" s="69"/>
      <c r="AI182" s="69"/>
      <c r="AJ182" s="53"/>
    </row>
    <row r="183" spans="6:36">
      <c r="F183"/>
      <c r="G183" s="6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 s="24"/>
      <c r="AC183" s="24"/>
      <c r="AD183" s="24"/>
      <c r="AE183" s="24"/>
      <c r="AF183" s="69"/>
      <c r="AG183" s="69"/>
      <c r="AH183" s="69"/>
      <c r="AI183" s="69"/>
      <c r="AJ183" s="53"/>
    </row>
    <row r="184" spans="6:36">
      <c r="F184"/>
      <c r="G184" s="6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 s="24"/>
      <c r="AC184" s="24"/>
      <c r="AD184" s="24"/>
      <c r="AE184" s="24"/>
      <c r="AF184" s="69"/>
      <c r="AG184" s="69"/>
      <c r="AH184" s="69"/>
      <c r="AI184" s="69"/>
      <c r="AJ184" s="53"/>
    </row>
    <row r="185" spans="6:36">
      <c r="F185"/>
      <c r="G185" s="6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 s="24"/>
      <c r="AC185" s="24"/>
      <c r="AD185" s="24"/>
      <c r="AE185" s="24"/>
      <c r="AF185" s="69"/>
      <c r="AG185" s="69"/>
      <c r="AH185" s="69"/>
      <c r="AI185" s="69"/>
      <c r="AJ185" s="53"/>
    </row>
    <row r="186" spans="6:36">
      <c r="F186"/>
      <c r="G186" s="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 s="24"/>
      <c r="AC186" s="24"/>
      <c r="AD186" s="24"/>
      <c r="AE186" s="24"/>
      <c r="AF186" s="69"/>
      <c r="AG186" s="69"/>
      <c r="AH186" s="69"/>
      <c r="AI186" s="69"/>
      <c r="AJ186" s="53"/>
    </row>
    <row r="187" spans="6:36">
      <c r="F187"/>
      <c r="G187" s="6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 s="24"/>
      <c r="AC187" s="24"/>
      <c r="AD187" s="24"/>
      <c r="AE187" s="24"/>
      <c r="AF187" s="69"/>
      <c r="AG187" s="69"/>
      <c r="AH187" s="69"/>
      <c r="AI187" s="69"/>
      <c r="AJ187" s="53"/>
    </row>
    <row r="188" spans="6:36">
      <c r="F188"/>
      <c r="G188" s="6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 s="24"/>
      <c r="AC188" s="24"/>
      <c r="AD188" s="24"/>
      <c r="AE188" s="24"/>
      <c r="AF188" s="69"/>
      <c r="AG188" s="69"/>
      <c r="AH188" s="69"/>
      <c r="AI188" s="69"/>
      <c r="AJ188" s="53"/>
    </row>
    <row r="189" spans="6:36">
      <c r="F189"/>
      <c r="G189" s="6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 s="24"/>
      <c r="AC189" s="24"/>
      <c r="AD189" s="24"/>
      <c r="AE189" s="24"/>
      <c r="AF189" s="69"/>
      <c r="AG189" s="69"/>
      <c r="AH189" s="69"/>
      <c r="AI189" s="69"/>
      <c r="AJ189" s="53"/>
    </row>
    <row r="190" spans="6:36">
      <c r="F190"/>
      <c r="G190" s="6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 s="24"/>
      <c r="AC190" s="24"/>
      <c r="AD190" s="24"/>
      <c r="AE190" s="24"/>
      <c r="AF190" s="69"/>
      <c r="AG190" s="69"/>
      <c r="AH190" s="69"/>
      <c r="AI190" s="69"/>
      <c r="AJ190" s="53"/>
    </row>
    <row r="191" spans="6:36">
      <c r="F191"/>
      <c r="G191" s="6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 s="24"/>
      <c r="AC191" s="24"/>
      <c r="AD191" s="24"/>
      <c r="AE191" s="24"/>
      <c r="AF191" s="69"/>
      <c r="AG191" s="69"/>
      <c r="AH191" s="69"/>
      <c r="AI191" s="69"/>
      <c r="AJ191" s="53"/>
    </row>
    <row r="192" spans="6:36">
      <c r="F192"/>
      <c r="G192" s="6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 s="24"/>
      <c r="AC192" s="24"/>
      <c r="AD192" s="24"/>
      <c r="AE192" s="24"/>
      <c r="AF192" s="69"/>
      <c r="AG192" s="69"/>
      <c r="AH192" s="69"/>
      <c r="AI192" s="69"/>
      <c r="AJ192" s="53"/>
    </row>
    <row r="193" spans="6:36">
      <c r="F193"/>
      <c r="G193" s="6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 s="24"/>
      <c r="AC193" s="24"/>
      <c r="AD193" s="24"/>
      <c r="AE193" s="24"/>
      <c r="AF193" s="69"/>
      <c r="AG193" s="69"/>
      <c r="AH193" s="69"/>
      <c r="AI193" s="69"/>
      <c r="AJ193" s="53"/>
    </row>
    <row r="194" spans="6:36">
      <c r="F194"/>
      <c r="G194" s="6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 s="24"/>
      <c r="AC194" s="24"/>
      <c r="AD194" s="24"/>
      <c r="AE194" s="24"/>
      <c r="AF194" s="69"/>
      <c r="AG194" s="69"/>
      <c r="AH194" s="69"/>
      <c r="AI194" s="69"/>
      <c r="AJ194" s="53"/>
    </row>
    <row r="195" spans="6:36">
      <c r="F195"/>
      <c r="G195" s="6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 s="24"/>
      <c r="AC195" s="24"/>
      <c r="AD195" s="24"/>
      <c r="AE195" s="24"/>
      <c r="AF195" s="69"/>
      <c r="AG195" s="69"/>
      <c r="AH195" s="69"/>
      <c r="AI195" s="69"/>
      <c r="AJ195" s="53"/>
    </row>
    <row r="196" spans="6:36">
      <c r="F196"/>
      <c r="G196" s="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 s="24"/>
      <c r="AC196" s="24"/>
      <c r="AD196" s="24"/>
      <c r="AE196" s="24"/>
      <c r="AF196" s="69"/>
      <c r="AG196" s="69"/>
      <c r="AH196" s="69"/>
      <c r="AI196" s="69"/>
      <c r="AJ196" s="53"/>
    </row>
    <row r="197" spans="6:36">
      <c r="F197"/>
      <c r="G197" s="6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 s="24"/>
      <c r="AC197" s="24"/>
      <c r="AD197" s="24"/>
      <c r="AE197" s="24"/>
      <c r="AF197" s="69"/>
      <c r="AG197" s="69"/>
      <c r="AH197" s="69"/>
      <c r="AI197" s="69"/>
      <c r="AJ197" s="53"/>
    </row>
    <row r="198" spans="6:36">
      <c r="F198"/>
      <c r="G198" s="6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 s="24"/>
      <c r="AC198" s="24"/>
      <c r="AD198" s="24"/>
      <c r="AE198" s="24"/>
      <c r="AF198" s="69"/>
      <c r="AG198" s="69"/>
      <c r="AH198" s="69"/>
      <c r="AI198" s="69"/>
      <c r="AJ198" s="53"/>
    </row>
    <row r="199" spans="6:36">
      <c r="F199"/>
      <c r="G199" s="6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 s="24"/>
      <c r="AC199" s="24"/>
      <c r="AD199" s="24"/>
      <c r="AE199" s="24"/>
      <c r="AF199" s="69"/>
      <c r="AG199" s="69"/>
      <c r="AH199" s="69"/>
      <c r="AI199" s="69"/>
      <c r="AJ199" s="53"/>
    </row>
    <row r="200" spans="6:36">
      <c r="F200"/>
      <c r="G200" s="6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 s="24"/>
      <c r="AC200" s="24"/>
      <c r="AD200" s="24"/>
      <c r="AE200" s="24"/>
      <c r="AF200" s="69"/>
      <c r="AG200" s="69"/>
      <c r="AH200" s="69"/>
      <c r="AI200" s="69"/>
      <c r="AJ200" s="53"/>
    </row>
    <row r="201" spans="6:36">
      <c r="F201"/>
      <c r="G201" s="6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 s="24"/>
      <c r="AC201" s="24"/>
      <c r="AD201" s="24"/>
      <c r="AE201" s="24"/>
      <c r="AF201" s="69"/>
      <c r="AG201" s="69"/>
      <c r="AH201" s="69"/>
      <c r="AI201" s="69"/>
      <c r="AJ201" s="53"/>
    </row>
    <row r="202" spans="6:36">
      <c r="F202"/>
      <c r="G202" s="6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 s="24"/>
      <c r="AC202" s="24"/>
      <c r="AD202" s="24"/>
      <c r="AE202" s="24"/>
      <c r="AF202" s="69"/>
      <c r="AG202" s="69"/>
      <c r="AH202" s="69"/>
      <c r="AI202" s="69"/>
      <c r="AJ202" s="53"/>
    </row>
    <row r="203" spans="6:36">
      <c r="F203"/>
      <c r="G203" s="6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 s="24"/>
      <c r="AC203" s="24"/>
      <c r="AD203" s="24"/>
      <c r="AE203" s="24"/>
      <c r="AF203" s="69"/>
      <c r="AG203" s="69"/>
      <c r="AH203" s="69"/>
      <c r="AI203" s="69"/>
      <c r="AJ203" s="53"/>
    </row>
    <row r="204" spans="6:36">
      <c r="F204"/>
      <c r="G204" s="6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J204" s="53"/>
    </row>
    <row r="205" spans="6:36">
      <c r="F205"/>
      <c r="G205" s="6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J205" s="53"/>
    </row>
    <row r="206" spans="6:36">
      <c r="F206"/>
      <c r="G206" s="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J206" s="53"/>
    </row>
    <row r="207" spans="6:36">
      <c r="F207"/>
      <c r="G207" s="6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J207" s="53"/>
    </row>
    <row r="208" spans="6:36">
      <c r="F208"/>
      <c r="G208" s="6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J208" s="53"/>
    </row>
    <row r="209" spans="6:36">
      <c r="F209"/>
      <c r="G209" s="6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J209" s="53"/>
    </row>
    <row r="210" spans="6:36">
      <c r="F210"/>
      <c r="G210" s="6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J210" s="53"/>
    </row>
    <row r="211" spans="6:36">
      <c r="F211"/>
      <c r="G211" s="6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J211" s="53"/>
    </row>
    <row r="212" spans="6:36">
      <c r="F212"/>
      <c r="G212" s="6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J212" s="53"/>
    </row>
    <row r="213" spans="6:36">
      <c r="F213"/>
      <c r="G213" s="6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J213" s="53"/>
    </row>
    <row r="214" spans="6:36">
      <c r="F214"/>
      <c r="G214" s="6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J214" s="53"/>
    </row>
    <row r="215" spans="6:36">
      <c r="F215"/>
      <c r="G215" s="6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J215" s="53"/>
    </row>
    <row r="216" spans="6:36">
      <c r="F216"/>
      <c r="G216" s="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J216" s="53"/>
    </row>
    <row r="217" spans="6:36">
      <c r="F217"/>
      <c r="G217" s="6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J217" s="53"/>
    </row>
    <row r="218" spans="6:36">
      <c r="F218"/>
      <c r="G218" s="6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J218" s="53"/>
    </row>
    <row r="219" spans="6:36">
      <c r="F219"/>
      <c r="G219" s="6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J219" s="53"/>
    </row>
    <row r="220" spans="6:36">
      <c r="F220"/>
      <c r="G220" s="6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J220" s="53"/>
    </row>
    <row r="221" spans="6:36">
      <c r="F221"/>
      <c r="G221" s="6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J221" s="53"/>
    </row>
    <row r="222" spans="6:36">
      <c r="F222"/>
      <c r="G222" s="6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J222" s="53"/>
    </row>
    <row r="223" spans="6:36">
      <c r="F223"/>
      <c r="G223" s="6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J223" s="53"/>
    </row>
    <row r="224" spans="6:36">
      <c r="F224"/>
      <c r="G224" s="6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J224" s="53"/>
    </row>
    <row r="225" spans="6:36">
      <c r="F225"/>
      <c r="G225" s="6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J225" s="53"/>
    </row>
    <row r="226" spans="6:36">
      <c r="F226"/>
      <c r="G226" s="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J226" s="53"/>
    </row>
    <row r="227" spans="6:36">
      <c r="F227"/>
      <c r="G227" s="6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J227" s="53"/>
    </row>
    <row r="228" spans="6:36">
      <c r="F228"/>
      <c r="G228" s="6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J228" s="53"/>
    </row>
    <row r="229" spans="6:36">
      <c r="F229"/>
      <c r="G229" s="6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J229" s="53"/>
    </row>
    <row r="230" spans="6:36">
      <c r="F230"/>
      <c r="G230" s="6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J230" s="53"/>
    </row>
    <row r="231" spans="6:36">
      <c r="F231"/>
      <c r="G231" s="6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J231" s="53"/>
    </row>
    <row r="232" spans="6:36">
      <c r="F232"/>
      <c r="G232" s="6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J232" s="53"/>
    </row>
    <row r="233" spans="6:36">
      <c r="F233"/>
      <c r="G233" s="6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J233" s="53"/>
    </row>
    <row r="234" spans="6:36">
      <c r="F234"/>
      <c r="G234" s="6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J234" s="53"/>
    </row>
    <row r="235" spans="6:36">
      <c r="F235"/>
      <c r="G235" s="6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J235" s="53"/>
    </row>
    <row r="236" spans="6:36">
      <c r="F236"/>
      <c r="G236" s="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J236" s="53"/>
    </row>
    <row r="237" spans="6:36">
      <c r="F237"/>
      <c r="G237" s="6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J237" s="53"/>
    </row>
    <row r="238" spans="6:36">
      <c r="F238"/>
      <c r="G238" s="6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J238" s="53"/>
    </row>
    <row r="239" spans="6:36">
      <c r="F239"/>
      <c r="G239" s="6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J239" s="53"/>
    </row>
    <row r="240" spans="6:36">
      <c r="F240"/>
      <c r="G240" s="6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J240" s="53"/>
    </row>
    <row r="241" spans="6:36">
      <c r="F241"/>
      <c r="G241" s="6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J241" s="53"/>
    </row>
    <row r="242" spans="6:36">
      <c r="F242"/>
      <c r="G242" s="6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J242" s="53"/>
    </row>
    <row r="243" spans="6:36">
      <c r="F243"/>
      <c r="G243" s="6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J243" s="53"/>
    </row>
    <row r="244" spans="6:36">
      <c r="F244"/>
      <c r="G244" s="6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J244" s="53"/>
    </row>
    <row r="245" spans="6:36">
      <c r="F245"/>
      <c r="G245" s="6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J245" s="53"/>
    </row>
    <row r="246" spans="6:36">
      <c r="F246"/>
      <c r="G246" s="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J246" s="53"/>
    </row>
    <row r="247" spans="6:36">
      <c r="F247"/>
      <c r="G247" s="6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J247" s="53"/>
    </row>
    <row r="248" spans="6:36">
      <c r="F248"/>
      <c r="G248" s="6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J248" s="53"/>
    </row>
    <row r="249" spans="6:36">
      <c r="F249"/>
      <c r="G249" s="6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J249" s="53"/>
    </row>
    <row r="250" spans="6:36">
      <c r="F250"/>
      <c r="G250" s="6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J250" s="53"/>
    </row>
    <row r="251" spans="6:36">
      <c r="F251"/>
      <c r="G251" s="6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J251" s="53"/>
    </row>
    <row r="252" spans="6:36">
      <c r="F252"/>
      <c r="G252" s="6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J252" s="53"/>
    </row>
    <row r="253" spans="6:36">
      <c r="F253"/>
      <c r="G253" s="6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J253" s="53"/>
    </row>
    <row r="254" spans="6:36">
      <c r="F254"/>
      <c r="G254" s="6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J254" s="53"/>
    </row>
    <row r="255" spans="6:36">
      <c r="F255"/>
      <c r="G255" s="6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J255" s="53"/>
    </row>
    <row r="256" spans="6:36">
      <c r="F256"/>
      <c r="G256" s="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J256" s="53"/>
    </row>
    <row r="257" spans="6:36">
      <c r="F257"/>
      <c r="G257" s="6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J257" s="53"/>
    </row>
    <row r="258" spans="6:36">
      <c r="F258"/>
      <c r="G258" s="6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J258" s="53"/>
    </row>
    <row r="259" spans="6:36">
      <c r="F259"/>
      <c r="G259" s="6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J259" s="53"/>
    </row>
    <row r="260" spans="6:36">
      <c r="F260"/>
      <c r="G260" s="6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J260" s="53"/>
    </row>
    <row r="261" spans="6:36">
      <c r="F261"/>
      <c r="G261" s="6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J261" s="53"/>
    </row>
    <row r="262" spans="6:36">
      <c r="F262"/>
      <c r="G262" s="6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J262" s="53"/>
    </row>
    <row r="263" spans="6:36">
      <c r="F263"/>
      <c r="G263" s="6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J263" s="53"/>
    </row>
    <row r="264" spans="6:36">
      <c r="F264"/>
      <c r="G264" s="6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J264" s="53"/>
    </row>
    <row r="265" spans="6:36">
      <c r="F265"/>
      <c r="G265" s="6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J265" s="53"/>
    </row>
    <row r="266" spans="6:36">
      <c r="F266"/>
      <c r="G266" s="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J266" s="53"/>
    </row>
    <row r="267" spans="6:36">
      <c r="F267"/>
      <c r="G267" s="6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J267" s="53"/>
    </row>
    <row r="268" spans="6:36">
      <c r="F268"/>
      <c r="G268" s="6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J268" s="53"/>
    </row>
    <row r="269" spans="6:36">
      <c r="F269"/>
      <c r="G269" s="6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J269" s="53"/>
    </row>
    <row r="270" spans="6:36">
      <c r="F270"/>
      <c r="G270" s="6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J270" s="53"/>
    </row>
    <row r="271" spans="6:36">
      <c r="F271"/>
      <c r="G271" s="6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J271" s="53"/>
    </row>
    <row r="272" spans="6:36">
      <c r="F272"/>
      <c r="G272" s="6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J272" s="53"/>
    </row>
    <row r="273" spans="6:36">
      <c r="F273"/>
      <c r="G273" s="6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J273" s="53"/>
    </row>
    <row r="274" spans="6:36">
      <c r="F274"/>
      <c r="G274" s="6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J274" s="53"/>
    </row>
    <row r="275" spans="6:36">
      <c r="F275"/>
      <c r="G275" s="6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J275" s="53"/>
    </row>
    <row r="276" spans="6:36">
      <c r="F276"/>
      <c r="G276" s="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J276" s="53"/>
    </row>
    <row r="277" spans="6:36">
      <c r="F277"/>
      <c r="G277" s="6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J277" s="53"/>
    </row>
    <row r="278" spans="6:36">
      <c r="F278"/>
      <c r="G278" s="6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J278" s="53"/>
    </row>
    <row r="279" spans="6:36">
      <c r="F279"/>
      <c r="G279" s="6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J279" s="53"/>
    </row>
    <row r="280" spans="6:36">
      <c r="F280"/>
      <c r="G280" s="6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J280" s="53"/>
    </row>
    <row r="281" spans="6:36">
      <c r="F281"/>
      <c r="G281" s="6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J281" s="53"/>
    </row>
    <row r="282" spans="6:36">
      <c r="F282"/>
      <c r="G282" s="6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J282" s="53"/>
    </row>
    <row r="283" spans="6:36">
      <c r="F283"/>
      <c r="G283" s="6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J283" s="53"/>
    </row>
    <row r="284" spans="6:36">
      <c r="F284"/>
      <c r="G284" s="6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J284" s="53"/>
    </row>
    <row r="285" spans="6:36">
      <c r="F285"/>
      <c r="G285" s="6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J285" s="53"/>
    </row>
    <row r="286" spans="6:36">
      <c r="F286"/>
      <c r="G286" s="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J286" s="53"/>
    </row>
    <row r="287" spans="6:36">
      <c r="F287"/>
      <c r="G287" s="6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J287" s="53"/>
    </row>
    <row r="288" spans="6:36">
      <c r="F288"/>
      <c r="G288" s="6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J288" s="53"/>
    </row>
    <row r="289" spans="6:36">
      <c r="F289"/>
      <c r="G289" s="6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J289" s="53"/>
    </row>
    <row r="290" spans="6:36">
      <c r="F290"/>
      <c r="G290" s="6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J290" s="53"/>
    </row>
    <row r="291" spans="6:36">
      <c r="F291"/>
      <c r="G291" s="6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J291" s="53"/>
    </row>
    <row r="292" spans="6:36">
      <c r="F292"/>
      <c r="G292" s="6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J292" s="53"/>
    </row>
    <row r="293" spans="6:36">
      <c r="F293"/>
      <c r="G293" s="6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J293" s="53"/>
    </row>
    <row r="294" spans="6:36">
      <c r="F294"/>
      <c r="G294" s="6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J294" s="53"/>
    </row>
    <row r="295" spans="6:36">
      <c r="F295"/>
      <c r="G295" s="6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J295" s="53"/>
    </row>
    <row r="296" spans="6:36">
      <c r="F296"/>
      <c r="G296" s="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J296" s="53"/>
    </row>
    <row r="297" spans="6:36">
      <c r="F297"/>
      <c r="G297" s="6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J297" s="53"/>
    </row>
    <row r="298" spans="6:36">
      <c r="F298"/>
      <c r="G298" s="6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J298" s="53"/>
    </row>
    <row r="299" spans="6:36">
      <c r="F299"/>
      <c r="G299" s="6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J299" s="53"/>
    </row>
    <row r="300" spans="6:36">
      <c r="F300"/>
      <c r="G300" s="6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J300" s="53"/>
    </row>
    <row r="301" spans="6:36">
      <c r="F301"/>
      <c r="G301" s="6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J301" s="53"/>
    </row>
    <row r="302" spans="6:36">
      <c r="F302"/>
      <c r="G302" s="6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J302" s="53"/>
    </row>
    <row r="303" spans="6:36">
      <c r="F303"/>
      <c r="G303" s="6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J303" s="53"/>
    </row>
    <row r="304" spans="6:36">
      <c r="F304"/>
      <c r="G304" s="6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J304" s="53"/>
    </row>
    <row r="305" spans="6:36">
      <c r="F305"/>
      <c r="G305" s="6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J305" s="53"/>
    </row>
    <row r="306" spans="6:36">
      <c r="F306"/>
      <c r="G306" s="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J306" s="53"/>
    </row>
    <row r="307" spans="6:36">
      <c r="F307"/>
      <c r="G307" s="6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J307" s="53"/>
    </row>
    <row r="308" spans="6:36">
      <c r="F308"/>
      <c r="G308" s="6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J308" s="53"/>
    </row>
    <row r="309" spans="6:36">
      <c r="F309"/>
      <c r="G309" s="6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J309" s="53"/>
    </row>
    <row r="310" spans="6:36">
      <c r="F310"/>
      <c r="G310" s="6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J310" s="53"/>
    </row>
    <row r="311" spans="6:36">
      <c r="F311"/>
      <c r="G311" s="6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J311" s="53"/>
    </row>
    <row r="312" spans="6:36">
      <c r="F312"/>
      <c r="G312" s="6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J312" s="53"/>
    </row>
    <row r="313" spans="6:36">
      <c r="F313"/>
      <c r="G313" s="6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J313" s="53"/>
    </row>
    <row r="314" spans="6:36">
      <c r="F314"/>
      <c r="G314" s="6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J314" s="53"/>
    </row>
    <row r="315" spans="6:36">
      <c r="F315"/>
      <c r="G315" s="6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J315" s="53"/>
    </row>
    <row r="316" spans="6:36">
      <c r="F316"/>
      <c r="G316" s="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J316" s="53"/>
    </row>
    <row r="317" spans="6:36">
      <c r="F317"/>
      <c r="G317" s="6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J317" s="53"/>
    </row>
    <row r="318" spans="6:36">
      <c r="F318"/>
      <c r="G318" s="6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J318" s="53"/>
    </row>
    <row r="319" spans="6:36">
      <c r="F319"/>
      <c r="G319" s="6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J319" s="53"/>
    </row>
    <row r="320" spans="6:36">
      <c r="F320"/>
      <c r="G320" s="6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J320" s="53"/>
    </row>
    <row r="321" spans="6:36">
      <c r="F321"/>
      <c r="G321" s="6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J321" s="53"/>
    </row>
    <row r="322" spans="6:36">
      <c r="F322"/>
      <c r="G322" s="6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J322" s="53"/>
    </row>
    <row r="323" spans="6:36">
      <c r="F323"/>
      <c r="G323" s="6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J323" s="53"/>
    </row>
    <row r="324" spans="6:36">
      <c r="F324"/>
      <c r="G324" s="6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J324" s="53"/>
    </row>
    <row r="325" spans="6:36">
      <c r="F325"/>
      <c r="G325" s="6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J325" s="53"/>
    </row>
    <row r="326" spans="6:36">
      <c r="F326"/>
      <c r="G326" s="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J326" s="53"/>
    </row>
    <row r="327" spans="6:36">
      <c r="F327"/>
      <c r="G327" s="6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J327" s="53"/>
    </row>
    <row r="328" spans="6:36">
      <c r="F328"/>
      <c r="G328" s="6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J328" s="53"/>
    </row>
    <row r="329" spans="6:36">
      <c r="F329"/>
      <c r="G329" s="6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J329" s="53"/>
    </row>
    <row r="330" spans="6:36">
      <c r="F330"/>
      <c r="G330" s="6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J330" s="53"/>
    </row>
    <row r="331" spans="6:36">
      <c r="F331"/>
      <c r="G331" s="6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J331" s="53"/>
    </row>
    <row r="332" spans="6:36">
      <c r="F332"/>
      <c r="G332" s="6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J332" s="53"/>
    </row>
    <row r="333" spans="6:36">
      <c r="F333"/>
      <c r="G333" s="6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J333" s="53"/>
    </row>
    <row r="334" spans="6:36">
      <c r="F334"/>
      <c r="G334" s="6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J334" s="53"/>
    </row>
    <row r="335" spans="6:36">
      <c r="F335"/>
      <c r="G335" s="6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J335" s="53"/>
    </row>
    <row r="336" spans="6:36">
      <c r="F336"/>
      <c r="G336" s="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J336" s="53"/>
    </row>
    <row r="337" spans="6:36">
      <c r="F337"/>
      <c r="G337" s="6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J337" s="53"/>
    </row>
    <row r="338" spans="6:36">
      <c r="F338"/>
      <c r="G338" s="6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J338" s="53"/>
    </row>
    <row r="339" spans="6:36">
      <c r="F339"/>
      <c r="G339" s="6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J339" s="53"/>
    </row>
    <row r="340" spans="6:36">
      <c r="F340"/>
      <c r="G340" s="6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J340" s="53"/>
    </row>
    <row r="341" spans="6:36">
      <c r="F341"/>
      <c r="G341" s="6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J341" s="53"/>
    </row>
    <row r="342" spans="6:36">
      <c r="F342"/>
      <c r="G342" s="6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J342" s="53"/>
    </row>
    <row r="343" spans="6:36">
      <c r="F343"/>
      <c r="G343" s="6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J343" s="53"/>
    </row>
    <row r="344" spans="6:36">
      <c r="F344"/>
      <c r="G344" s="6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J344" s="53"/>
    </row>
    <row r="345" spans="6:36">
      <c r="F345"/>
      <c r="G345" s="6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J345" s="53"/>
    </row>
    <row r="346" spans="6:36">
      <c r="F346"/>
      <c r="G346" s="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J346" s="53"/>
    </row>
    <row r="347" spans="6:36">
      <c r="F347"/>
      <c r="G347" s="6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J347" s="53"/>
    </row>
    <row r="348" spans="6:36">
      <c r="F348"/>
      <c r="G348" s="6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J348" s="53"/>
    </row>
    <row r="349" spans="6:36">
      <c r="F349"/>
      <c r="G349" s="6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J349" s="53"/>
    </row>
    <row r="350" spans="6:36">
      <c r="F350"/>
      <c r="G350" s="6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J350" s="53"/>
    </row>
    <row r="351" spans="6:36">
      <c r="F351"/>
      <c r="G351" s="6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J351" s="53"/>
    </row>
    <row r="352" spans="6:36">
      <c r="F352"/>
      <c r="G352" s="6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J352" s="53"/>
    </row>
    <row r="353" spans="6:36">
      <c r="F353"/>
      <c r="G353" s="6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J353" s="53"/>
    </row>
    <row r="354" spans="6:36">
      <c r="F354"/>
      <c r="G354" s="6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J354" s="53"/>
    </row>
    <row r="355" spans="6:36">
      <c r="F355"/>
      <c r="G355" s="6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J355" s="53"/>
    </row>
    <row r="356" spans="6:36">
      <c r="F356"/>
      <c r="G356" s="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J356" s="53"/>
    </row>
    <row r="357" spans="6:36">
      <c r="F357"/>
      <c r="G357" s="6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J357" s="53"/>
    </row>
    <row r="358" spans="6:36">
      <c r="F358"/>
      <c r="G358" s="6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J358" s="53"/>
    </row>
    <row r="359" spans="6:36">
      <c r="F359"/>
      <c r="G359" s="6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J359" s="53"/>
    </row>
    <row r="360" spans="6:36">
      <c r="F360"/>
      <c r="G360" s="6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J360" s="53"/>
    </row>
    <row r="361" spans="6:36">
      <c r="G361" s="66"/>
      <c r="AJ361" s="53"/>
    </row>
    <row r="362" spans="6:36">
      <c r="G362" s="66"/>
      <c r="AJ362" s="53"/>
    </row>
    <row r="363" spans="6:36">
      <c r="G363" s="66"/>
      <c r="AJ363" s="53"/>
    </row>
    <row r="364" spans="6:36">
      <c r="G364" s="66"/>
      <c r="AJ364" s="53"/>
    </row>
    <row r="365" spans="6:36">
      <c r="G365" s="66"/>
      <c r="AJ365" s="53"/>
    </row>
    <row r="366" spans="6:36">
      <c r="G366" s="66"/>
      <c r="AJ366" s="53"/>
    </row>
    <row r="367" spans="6:36">
      <c r="G367" s="66"/>
      <c r="AJ367" s="53"/>
    </row>
    <row r="368" spans="6:36">
      <c r="G368" s="66"/>
      <c r="AJ368" s="53"/>
    </row>
    <row r="369" spans="7:36">
      <c r="G369" s="66"/>
      <c r="AJ369" s="53"/>
    </row>
    <row r="370" spans="7:36">
      <c r="G370" s="66"/>
      <c r="AJ370" s="53"/>
    </row>
    <row r="371" spans="7:36">
      <c r="G371" s="66"/>
      <c r="AJ371" s="53"/>
    </row>
    <row r="372" spans="7:36">
      <c r="G372" s="66"/>
      <c r="AJ372" s="53"/>
    </row>
    <row r="373" spans="7:36">
      <c r="G373" s="66"/>
      <c r="AJ373" s="53"/>
    </row>
    <row r="374" spans="7:36">
      <c r="G374" s="66"/>
      <c r="AJ374" s="53"/>
    </row>
    <row r="375" spans="7:36">
      <c r="G375" s="66"/>
      <c r="AJ375" s="53"/>
    </row>
    <row r="376" spans="7:36">
      <c r="G376" s="66"/>
      <c r="AJ376" s="53"/>
    </row>
    <row r="377" spans="7:36">
      <c r="G377" s="66"/>
      <c r="AJ377" s="53"/>
    </row>
    <row r="378" spans="7:36">
      <c r="G378" s="66"/>
      <c r="AJ378" s="53"/>
    </row>
    <row r="379" spans="7:36">
      <c r="G379" s="66"/>
      <c r="AJ379" s="53"/>
    </row>
    <row r="380" spans="7:36">
      <c r="G380" s="66"/>
      <c r="AJ380" s="53"/>
    </row>
    <row r="381" spans="7:36">
      <c r="G381" s="66"/>
      <c r="AJ381" s="53"/>
    </row>
    <row r="382" spans="7:36">
      <c r="G382" s="66"/>
      <c r="AJ382" s="53"/>
    </row>
    <row r="383" spans="7:36">
      <c r="G383" s="66"/>
      <c r="AJ383" s="53"/>
    </row>
    <row r="384" spans="7:36">
      <c r="G384" s="66"/>
      <c r="AJ384" s="53"/>
    </row>
    <row r="385" spans="7:36">
      <c r="G385" s="66"/>
      <c r="AJ385" s="53"/>
    </row>
    <row r="386" spans="7:36">
      <c r="G386" s="66"/>
      <c r="AJ386" s="53"/>
    </row>
    <row r="387" spans="7:36">
      <c r="G387" s="66"/>
      <c r="AJ387" s="53"/>
    </row>
    <row r="388" spans="7:36">
      <c r="G388" s="66"/>
      <c r="AJ388" s="53"/>
    </row>
    <row r="389" spans="7:36">
      <c r="G389" s="66"/>
      <c r="AJ389" s="53"/>
    </row>
    <row r="390" spans="7:36">
      <c r="G390" s="66"/>
      <c r="AJ390" s="53"/>
    </row>
    <row r="391" spans="7:36">
      <c r="G391" s="66"/>
      <c r="AJ391" s="53"/>
    </row>
    <row r="392" spans="7:36">
      <c r="G392" s="66"/>
      <c r="AJ392" s="53"/>
    </row>
    <row r="393" spans="7:36">
      <c r="G393" s="66"/>
      <c r="AJ393" s="53"/>
    </row>
    <row r="394" spans="7:36">
      <c r="G394" s="66"/>
      <c r="AJ394" s="53"/>
    </row>
    <row r="395" spans="7:36">
      <c r="G395" s="66"/>
      <c r="AJ395" s="53"/>
    </row>
    <row r="396" spans="7:36">
      <c r="G396" s="66"/>
      <c r="AJ396" s="53"/>
    </row>
    <row r="397" spans="7:36">
      <c r="G397" s="66"/>
      <c r="AJ397" s="53"/>
    </row>
    <row r="398" spans="7:36">
      <c r="G398" s="66"/>
      <c r="AJ398" s="53"/>
    </row>
    <row r="399" spans="7:36">
      <c r="G399" s="66"/>
      <c r="AJ399" s="53"/>
    </row>
    <row r="400" spans="7:36">
      <c r="G400" s="66"/>
      <c r="AJ400" s="53"/>
    </row>
    <row r="401" spans="7:36">
      <c r="G401" s="66"/>
      <c r="AJ401" s="53"/>
    </row>
    <row r="402" spans="7:36">
      <c r="G402" s="66"/>
      <c r="AJ402" s="53"/>
    </row>
    <row r="403" spans="7:36">
      <c r="G403" s="66"/>
      <c r="AJ403" s="53"/>
    </row>
    <row r="404" spans="7:36">
      <c r="G404" s="66"/>
      <c r="AJ404" s="53"/>
    </row>
    <row r="405" spans="7:36">
      <c r="G405" s="66"/>
      <c r="AJ405" s="53"/>
    </row>
    <row r="406" spans="7:36">
      <c r="G406" s="66"/>
      <c r="AJ406" s="53"/>
    </row>
    <row r="407" spans="7:36">
      <c r="G407" s="66"/>
      <c r="AJ407" s="53"/>
    </row>
    <row r="408" spans="7:36">
      <c r="G408" s="66"/>
      <c r="AJ408" s="53"/>
    </row>
    <row r="409" spans="7:36">
      <c r="G409" s="66"/>
      <c r="AJ409" s="53"/>
    </row>
    <row r="410" spans="7:36">
      <c r="G410" s="66"/>
      <c r="AJ410" s="53"/>
    </row>
    <row r="411" spans="7:36">
      <c r="G411" s="66"/>
      <c r="AJ411" s="53"/>
    </row>
    <row r="412" spans="7:36">
      <c r="G412" s="66"/>
      <c r="AJ412" s="53"/>
    </row>
    <row r="413" spans="7:36">
      <c r="G413" s="66"/>
      <c r="AJ413" s="53"/>
    </row>
    <row r="414" spans="7:36">
      <c r="G414" s="66"/>
      <c r="AJ414" s="53"/>
    </row>
    <row r="415" spans="7:36">
      <c r="G415" s="66"/>
      <c r="AJ415" s="53"/>
    </row>
    <row r="416" spans="7:36">
      <c r="G416" s="66"/>
      <c r="AJ416" s="53"/>
    </row>
    <row r="417" spans="7:36">
      <c r="G417" s="66"/>
      <c r="AJ417" s="53"/>
    </row>
    <row r="418" spans="7:36">
      <c r="G418" s="66"/>
      <c r="AJ418" s="53"/>
    </row>
    <row r="419" spans="7:36">
      <c r="G419" s="66"/>
      <c r="AJ419" s="53"/>
    </row>
    <row r="420" spans="7:36">
      <c r="G420" s="66"/>
      <c r="AJ420" s="53"/>
    </row>
    <row r="421" spans="7:36">
      <c r="G421" s="66"/>
      <c r="AJ421" s="53"/>
    </row>
    <row r="422" spans="7:36">
      <c r="G422" s="66"/>
      <c r="AJ422" s="53"/>
    </row>
    <row r="423" spans="7:36">
      <c r="G423" s="66"/>
      <c r="AJ423" s="53"/>
    </row>
    <row r="424" spans="7:36">
      <c r="G424" s="66"/>
      <c r="AJ424" s="53"/>
    </row>
    <row r="425" spans="7:36">
      <c r="G425" s="66"/>
      <c r="AJ425" s="53"/>
    </row>
    <row r="426" spans="7:36">
      <c r="G426" s="66"/>
      <c r="AJ426" s="53"/>
    </row>
    <row r="427" spans="7:36">
      <c r="G427" s="66"/>
      <c r="AJ427" s="53"/>
    </row>
    <row r="428" spans="7:36">
      <c r="G428" s="66"/>
      <c r="AJ428" s="53"/>
    </row>
    <row r="429" spans="7:36">
      <c r="G429" s="66"/>
      <c r="AJ429" s="53"/>
    </row>
    <row r="430" spans="7:36">
      <c r="G430" s="66"/>
      <c r="AJ430" s="53"/>
    </row>
    <row r="431" spans="7:36">
      <c r="G431" s="66"/>
      <c r="AJ431" s="53"/>
    </row>
    <row r="432" spans="7:36">
      <c r="G432" s="66"/>
      <c r="AJ432" s="53"/>
    </row>
    <row r="433" spans="7:36">
      <c r="G433" s="66"/>
      <c r="AJ433" s="53"/>
    </row>
    <row r="434" spans="7:36">
      <c r="G434" s="66"/>
      <c r="AJ434" s="53"/>
    </row>
    <row r="435" spans="7:36">
      <c r="G435" s="66"/>
      <c r="AJ435" s="53"/>
    </row>
    <row r="436" spans="7:36">
      <c r="G436" s="66"/>
      <c r="AJ436" s="53"/>
    </row>
    <row r="437" spans="7:36">
      <c r="G437" s="66"/>
      <c r="AJ437" s="53"/>
    </row>
    <row r="438" spans="7:36">
      <c r="G438" s="66"/>
      <c r="AJ438" s="53"/>
    </row>
    <row r="439" spans="7:36">
      <c r="G439" s="66"/>
      <c r="AJ439" s="53"/>
    </row>
    <row r="440" spans="7:36">
      <c r="G440" s="66"/>
      <c r="AJ440" s="53"/>
    </row>
    <row r="441" spans="7:36">
      <c r="G441" s="66"/>
      <c r="AJ441" s="53"/>
    </row>
    <row r="442" spans="7:36">
      <c r="G442" s="66"/>
      <c r="AJ442" s="53"/>
    </row>
    <row r="443" spans="7:36">
      <c r="G443" s="66"/>
      <c r="AJ443" s="53"/>
    </row>
    <row r="444" spans="7:36">
      <c r="G444" s="66"/>
      <c r="AJ444" s="53"/>
    </row>
    <row r="445" spans="7:36">
      <c r="G445" s="66"/>
      <c r="AJ445" s="53"/>
    </row>
    <row r="446" spans="7:36">
      <c r="G446" s="66"/>
      <c r="AJ446" s="53"/>
    </row>
    <row r="447" spans="7:36">
      <c r="G447" s="66"/>
      <c r="AJ447" s="53"/>
    </row>
    <row r="448" spans="7:36">
      <c r="G448" s="66"/>
      <c r="AJ448" s="53"/>
    </row>
    <row r="449" spans="7:36">
      <c r="G449" s="66"/>
      <c r="AJ449" s="53"/>
    </row>
    <row r="450" spans="7:36">
      <c r="G450" s="66"/>
      <c r="AJ450" s="53"/>
    </row>
    <row r="451" spans="7:36">
      <c r="G451" s="66"/>
      <c r="AJ451" s="53"/>
    </row>
    <row r="452" spans="7:36">
      <c r="G452" s="66"/>
      <c r="AJ452" s="53"/>
    </row>
    <row r="453" spans="7:36">
      <c r="G453" s="66"/>
      <c r="AJ453" s="53"/>
    </row>
    <row r="454" spans="7:36">
      <c r="G454" s="66"/>
      <c r="AJ454" s="53"/>
    </row>
    <row r="455" spans="7:36">
      <c r="G455" s="66"/>
      <c r="AJ455" s="53"/>
    </row>
    <row r="456" spans="7:36">
      <c r="G456" s="66"/>
      <c r="AJ456" s="53"/>
    </row>
    <row r="457" spans="7:36">
      <c r="G457" s="66"/>
      <c r="AJ457" s="53"/>
    </row>
    <row r="458" spans="7:36">
      <c r="G458" s="66"/>
      <c r="AJ458" s="53"/>
    </row>
    <row r="459" spans="7:36">
      <c r="G459" s="66"/>
      <c r="AJ459" s="53"/>
    </row>
    <row r="460" spans="7:36">
      <c r="G460" s="66"/>
      <c r="AJ460" s="53"/>
    </row>
    <row r="461" spans="7:36">
      <c r="G461" s="66"/>
      <c r="AJ461" s="53"/>
    </row>
    <row r="462" spans="7:36">
      <c r="G462" s="66"/>
      <c r="AJ462" s="53"/>
    </row>
    <row r="463" spans="7:36">
      <c r="G463" s="66"/>
      <c r="AJ463" s="53"/>
    </row>
    <row r="464" spans="7:36">
      <c r="G464" s="66"/>
      <c r="AJ464" s="53"/>
    </row>
    <row r="465" spans="7:36">
      <c r="G465" s="66"/>
      <c r="AJ465" s="53"/>
    </row>
    <row r="466" spans="7:36">
      <c r="G466" s="66"/>
      <c r="AJ466" s="53"/>
    </row>
    <row r="467" spans="7:36">
      <c r="G467" s="66"/>
      <c r="AJ467" s="53"/>
    </row>
    <row r="468" spans="7:36">
      <c r="G468" s="66"/>
      <c r="AJ468" s="53"/>
    </row>
    <row r="469" spans="7:36">
      <c r="G469" s="66"/>
      <c r="AJ469" s="53"/>
    </row>
    <row r="470" spans="7:36">
      <c r="G470" s="66"/>
      <c r="AJ470" s="53"/>
    </row>
    <row r="471" spans="7:36">
      <c r="G471" s="66"/>
      <c r="AJ471" s="53"/>
    </row>
    <row r="472" spans="7:36">
      <c r="G472" s="66"/>
      <c r="AJ472" s="53"/>
    </row>
    <row r="473" spans="7:36">
      <c r="G473" s="66"/>
      <c r="AJ473" s="53"/>
    </row>
    <row r="474" spans="7:36">
      <c r="G474" s="66"/>
      <c r="AJ474" s="53"/>
    </row>
    <row r="475" spans="7:36">
      <c r="G475" s="66"/>
      <c r="AJ475" s="53"/>
    </row>
    <row r="476" spans="7:36">
      <c r="G476" s="66"/>
      <c r="AJ476" s="53"/>
    </row>
    <row r="477" spans="7:36">
      <c r="G477" s="66"/>
      <c r="AJ477" s="53"/>
    </row>
    <row r="478" spans="7:36">
      <c r="G478" s="66"/>
      <c r="AJ478" s="53"/>
    </row>
    <row r="479" spans="7:36">
      <c r="G479" s="66"/>
      <c r="AJ479" s="53"/>
    </row>
    <row r="480" spans="7:36">
      <c r="G480" s="66"/>
      <c r="AJ480" s="53"/>
    </row>
    <row r="481" spans="7:36">
      <c r="G481" s="66"/>
      <c r="AJ481" s="53"/>
    </row>
    <row r="482" spans="7:36">
      <c r="G482" s="66"/>
      <c r="AJ482" s="53"/>
    </row>
    <row r="483" spans="7:36">
      <c r="G483" s="66"/>
      <c r="AJ483" s="53"/>
    </row>
    <row r="484" spans="7:36">
      <c r="G484" s="66"/>
      <c r="AJ484" s="53"/>
    </row>
    <row r="485" spans="7:36">
      <c r="G485" s="66"/>
      <c r="AJ485" s="53"/>
    </row>
    <row r="486" spans="7:36">
      <c r="G486" s="66"/>
      <c r="AJ486" s="53"/>
    </row>
    <row r="487" spans="7:36">
      <c r="G487" s="66"/>
      <c r="AJ487" s="53"/>
    </row>
    <row r="488" spans="7:36">
      <c r="G488" s="66"/>
      <c r="AJ488" s="53"/>
    </row>
    <row r="489" spans="7:36">
      <c r="G489" s="66"/>
      <c r="AJ489" s="53"/>
    </row>
    <row r="490" spans="7:36">
      <c r="G490" s="66"/>
      <c r="AJ490" s="53"/>
    </row>
    <row r="491" spans="7:36">
      <c r="G491" s="66"/>
      <c r="AJ491" s="53"/>
    </row>
  </sheetData>
  <sortState xmlns:xlrd2="http://schemas.microsoft.com/office/spreadsheetml/2017/richdata2" ref="C76:AE93">
    <sortCondition ref="C76"/>
  </sortState>
  <mergeCells count="13">
    <mergeCell ref="AK4:AK5"/>
    <mergeCell ref="AK74:AK75"/>
    <mergeCell ref="AL4:AL5"/>
    <mergeCell ref="AL74:AL75"/>
    <mergeCell ref="B2:AJ2"/>
    <mergeCell ref="B4:B5"/>
    <mergeCell ref="B74:B75"/>
    <mergeCell ref="C4:C5"/>
    <mergeCell ref="C74:C75"/>
    <mergeCell ref="D4:D5"/>
    <mergeCell ref="D74:D75"/>
    <mergeCell ref="AJ4:AJ5"/>
    <mergeCell ref="AJ74:AJ75"/>
  </mergeCells>
  <pageMargins left="0.25" right="0.25" top="0.75" bottom="0.75" header="0.3" footer="0.3"/>
  <pageSetup scale="41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T122"/>
  <sheetViews>
    <sheetView zoomScale="61" workbookViewId="0">
      <selection activeCell="A2" sqref="A1:F1048576"/>
    </sheetView>
  </sheetViews>
  <sheetFormatPr defaultColWidth="9" defaultRowHeight="14.5"/>
  <sheetData>
    <row r="1" spans="1:98" ht="23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</row>
    <row r="3" spans="1:98" ht="15" customHeight="1">
      <c r="A3" s="4"/>
    </row>
    <row r="4" spans="1:98">
      <c r="A4" s="4"/>
    </row>
    <row r="5" spans="1:98">
      <c r="A5" s="4"/>
    </row>
    <row r="6" spans="1:98">
      <c r="A6" s="4"/>
    </row>
    <row r="7" spans="1:98">
      <c r="A7" s="4"/>
    </row>
    <row r="8" spans="1:98">
      <c r="A8" s="4"/>
    </row>
    <row r="9" spans="1:98">
      <c r="A9" s="4"/>
    </row>
    <row r="10" spans="1:98">
      <c r="A10" s="4"/>
    </row>
    <row r="11" spans="1:98">
      <c r="A11" s="4"/>
    </row>
    <row r="12" spans="1:98">
      <c r="A12" s="4"/>
    </row>
    <row r="13" spans="1:98">
      <c r="A13" s="4"/>
    </row>
    <row r="14" spans="1:98">
      <c r="A14" s="4"/>
    </row>
    <row r="15" spans="1:98">
      <c r="A15" s="4"/>
    </row>
    <row r="16" spans="1:98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 s="1" customFormat="1">
      <c r="A91" s="4"/>
    </row>
    <row r="92" spans="1:1">
      <c r="A92" s="4"/>
    </row>
    <row r="93" spans="1:1" s="2" customFormat="1"/>
    <row r="122" s="1" customFormat="1"/>
  </sheetData>
  <printOptions horizontalCentered="1" verticalCentered="1"/>
  <pageMargins left="0.69930555555555596" right="0.69930555555555596" top="0.75" bottom="0.75" header="0.3" footer="0.3"/>
  <pageSetup fitToHeight="0" orientation="portrait" horizontalDpi="120" verticalDpi="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HARGA RATA-RATA MDL</vt:lpstr>
      <vt:lpstr>HARGA RATA</vt:lpstr>
      <vt:lpstr>'HARGA RATA-RATA MDL'!Print_Area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LENOVO</cp:lastModifiedBy>
  <cp:lastPrinted>2019-05-31T03:16:51Z</cp:lastPrinted>
  <dcterms:created xsi:type="dcterms:W3CDTF">2014-10-24T06:00:00Z</dcterms:created>
  <dcterms:modified xsi:type="dcterms:W3CDTF">2025-09-25T12:45:12Z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1033-10.2.0.5934</vt:lpwstr>
  </property>
</Properties>
</file>